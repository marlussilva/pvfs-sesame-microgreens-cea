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62A93308-3A93-4BEC-9FC7-53038056053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Gaussina  Vermelha" sheetId="1" r:id="rId1"/>
    <sheet name="Gaussiana RBW" sheetId="2" r:id="rId2"/>
    <sheet name="Gaussiana Branca" sheetId="3" r:id="rId3"/>
    <sheet name="Gaussiana azul" sheetId="7" r:id="rId4"/>
    <sheet name="Planilha1" sheetId="4" r:id="rId5"/>
    <sheet name="Planilha2" sheetId="5" r:id="rId6"/>
    <sheet name="Planilha3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" i="1" l="1"/>
  <c r="J82" i="1"/>
  <c r="J80" i="1"/>
  <c r="J78" i="1"/>
  <c r="R82" i="1"/>
  <c r="Q82" i="1"/>
  <c r="P82" i="1"/>
  <c r="O82" i="1"/>
  <c r="J71" i="1"/>
  <c r="R80" i="1"/>
  <c r="M80" i="1"/>
  <c r="Q80" i="1"/>
  <c r="P80" i="1"/>
  <c r="K80" i="1"/>
  <c r="O80" i="1"/>
  <c r="R78" i="1"/>
  <c r="M78" i="1"/>
  <c r="Q78" i="1"/>
  <c r="L78" i="1"/>
  <c r="P78" i="1"/>
  <c r="K78" i="1"/>
  <c r="O78" i="1"/>
  <c r="R71" i="1"/>
  <c r="Q71" i="1"/>
  <c r="P71" i="1"/>
  <c r="O71" i="1"/>
  <c r="V48" i="1"/>
  <c r="N48" i="1"/>
  <c r="F48" i="1"/>
  <c r="AC48" i="1"/>
  <c r="M71" i="1"/>
  <c r="L71" i="1"/>
  <c r="L80" i="1" s="1"/>
  <c r="G4" i="1"/>
  <c r="AI15" i="1"/>
  <c r="K15" i="1"/>
  <c r="AI4" i="1"/>
  <c r="AI5" i="1"/>
  <c r="AI6" i="1"/>
  <c r="AI7" i="1"/>
  <c r="AI8" i="1"/>
  <c r="AI9" i="1"/>
  <c r="AI10" i="1"/>
  <c r="AI11" i="1"/>
  <c r="AI12" i="1"/>
  <c r="AI13" i="1"/>
  <c r="AI14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J36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16" i="1"/>
  <c r="AJ17" i="1"/>
  <c r="AJ15" i="1"/>
  <c r="AJ14" i="1"/>
  <c r="AJ37" i="1"/>
  <c r="AJ38" i="1"/>
  <c r="AJ39" i="1"/>
  <c r="AJ40" i="1"/>
  <c r="AJ41" i="1"/>
  <c r="AL17" i="1"/>
  <c r="AJ11" i="1"/>
  <c r="AJ12" i="1"/>
  <c r="AJ13" i="1"/>
  <c r="AJ4" i="1"/>
  <c r="AJ5" i="1"/>
  <c r="AJ6" i="1"/>
  <c r="AJ7" i="1"/>
  <c r="AJ8" i="1"/>
  <c r="AJ9" i="1"/>
  <c r="AJ10" i="1"/>
  <c r="AJ42" i="1"/>
  <c r="AJ43" i="1"/>
  <c r="AJ45" i="1"/>
  <c r="AJ46" i="1"/>
  <c r="AJ47" i="1"/>
  <c r="AJ44" i="1"/>
  <c r="AI48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" i="1"/>
  <c r="Y48" i="1" s="1"/>
  <c r="K5" i="1"/>
  <c r="K6" i="1"/>
  <c r="K7" i="1"/>
  <c r="K8" i="1"/>
  <c r="K9" i="1"/>
  <c r="K10" i="1"/>
  <c r="K11" i="1"/>
  <c r="K12" i="1"/>
  <c r="K13" i="1"/>
  <c r="K14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" i="1"/>
  <c r="K48" i="1" s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" i="1"/>
  <c r="R48" i="1" s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" i="1"/>
  <c r="M54" i="1"/>
  <c r="AA48" i="1"/>
  <c r="Z5" i="1"/>
  <c r="AB5" i="1"/>
  <c r="Z6" i="1"/>
  <c r="AB6" i="1"/>
  <c r="Z7" i="1"/>
  <c r="AB7" i="1"/>
  <c r="Z8" i="1"/>
  <c r="AB8" i="1"/>
  <c r="Z9" i="1"/>
  <c r="AB9" i="1"/>
  <c r="Z10" i="1"/>
  <c r="AB10" i="1"/>
  <c r="Z11" i="1"/>
  <c r="AB11" i="1"/>
  <c r="Z12" i="1"/>
  <c r="AB12" i="1"/>
  <c r="Z13" i="1"/>
  <c r="AB13" i="1"/>
  <c r="Z14" i="1"/>
  <c r="AB14" i="1"/>
  <c r="Z15" i="1"/>
  <c r="AB15" i="1"/>
  <c r="Z16" i="1"/>
  <c r="AB16" i="1"/>
  <c r="Z17" i="1"/>
  <c r="AB17" i="1"/>
  <c r="Z18" i="1"/>
  <c r="AB18" i="1"/>
  <c r="Z19" i="1"/>
  <c r="AB19" i="1"/>
  <c r="Z20" i="1"/>
  <c r="AB20" i="1"/>
  <c r="Z21" i="1"/>
  <c r="AB21" i="1"/>
  <c r="Z22" i="1"/>
  <c r="AB22" i="1"/>
  <c r="Z23" i="1"/>
  <c r="AB23" i="1"/>
  <c r="Z24" i="1"/>
  <c r="AB24" i="1"/>
  <c r="Z25" i="1"/>
  <c r="AB25" i="1"/>
  <c r="Z26" i="1"/>
  <c r="AB26" i="1"/>
  <c r="Z27" i="1"/>
  <c r="AB27" i="1"/>
  <c r="Z28" i="1"/>
  <c r="AB28" i="1"/>
  <c r="Z29" i="1"/>
  <c r="AB29" i="1"/>
  <c r="Z30" i="1"/>
  <c r="AB30" i="1"/>
  <c r="Z31" i="1"/>
  <c r="AB31" i="1"/>
  <c r="Z32" i="1"/>
  <c r="AB32" i="1"/>
  <c r="Z33" i="1"/>
  <c r="AB33" i="1"/>
  <c r="Z34" i="1"/>
  <c r="AB34" i="1"/>
  <c r="Z35" i="1"/>
  <c r="AB35" i="1"/>
  <c r="Z36" i="1"/>
  <c r="AB36" i="1"/>
  <c r="Z37" i="1"/>
  <c r="AB37" i="1"/>
  <c r="Z38" i="1"/>
  <c r="AB38" i="1"/>
  <c r="Z39" i="1"/>
  <c r="AB39" i="1"/>
  <c r="Z40" i="1"/>
  <c r="AB40" i="1"/>
  <c r="Z41" i="1"/>
  <c r="AB41" i="1"/>
  <c r="Z42" i="1"/>
  <c r="AB42" i="1"/>
  <c r="Z43" i="1"/>
  <c r="AB43" i="1"/>
  <c r="Z44" i="1"/>
  <c r="AB44" i="1"/>
  <c r="Z45" i="1"/>
  <c r="AB45" i="1"/>
  <c r="Z46" i="1"/>
  <c r="AB46" i="1"/>
  <c r="Z47" i="1"/>
  <c r="AB47" i="1"/>
  <c r="Z4" i="1"/>
  <c r="AB4" i="1"/>
  <c r="AB48" i="1"/>
  <c r="Z48" i="1"/>
  <c r="E5" i="1"/>
  <c r="H5" i="1"/>
  <c r="E6" i="1"/>
  <c r="H6" i="1"/>
  <c r="E7" i="1"/>
  <c r="H7" i="1"/>
  <c r="E8" i="1"/>
  <c r="H8" i="1"/>
  <c r="E9" i="1"/>
  <c r="H9" i="1"/>
  <c r="E10" i="1"/>
  <c r="H10" i="1"/>
  <c r="E11" i="1"/>
  <c r="H11" i="1"/>
  <c r="E12" i="1"/>
  <c r="H12" i="1"/>
  <c r="E13" i="1"/>
  <c r="H13" i="1"/>
  <c r="E14" i="1"/>
  <c r="H14" i="1"/>
  <c r="E15" i="1"/>
  <c r="H15" i="1"/>
  <c r="E16" i="1"/>
  <c r="H16" i="1"/>
  <c r="E17" i="1"/>
  <c r="H17" i="1"/>
  <c r="E18" i="1"/>
  <c r="H18" i="1"/>
  <c r="E19" i="1"/>
  <c r="H19" i="1"/>
  <c r="E20" i="1"/>
  <c r="H20" i="1"/>
  <c r="E21" i="1"/>
  <c r="H21" i="1"/>
  <c r="E22" i="1"/>
  <c r="H22" i="1"/>
  <c r="E23" i="1"/>
  <c r="H23" i="1"/>
  <c r="E24" i="1"/>
  <c r="H24" i="1"/>
  <c r="E25" i="1"/>
  <c r="H25" i="1"/>
  <c r="E26" i="1"/>
  <c r="H26" i="1"/>
  <c r="E27" i="1"/>
  <c r="H27" i="1"/>
  <c r="E28" i="1"/>
  <c r="H28" i="1"/>
  <c r="E29" i="1"/>
  <c r="H29" i="1"/>
  <c r="E30" i="1"/>
  <c r="H30" i="1"/>
  <c r="E31" i="1"/>
  <c r="H31" i="1"/>
  <c r="E32" i="1"/>
  <c r="H32" i="1"/>
  <c r="E33" i="1"/>
  <c r="H33" i="1"/>
  <c r="E34" i="1"/>
  <c r="H34" i="1"/>
  <c r="E35" i="1"/>
  <c r="H35" i="1"/>
  <c r="E36" i="1"/>
  <c r="H36" i="1"/>
  <c r="E37" i="1"/>
  <c r="H37" i="1"/>
  <c r="E38" i="1"/>
  <c r="H38" i="1"/>
  <c r="E39" i="1"/>
  <c r="H39" i="1"/>
  <c r="E40" i="1"/>
  <c r="H40" i="1"/>
  <c r="E41" i="1"/>
  <c r="H41" i="1"/>
  <c r="E42" i="1"/>
  <c r="H42" i="1"/>
  <c r="E43" i="1"/>
  <c r="H43" i="1"/>
  <c r="E44" i="1"/>
  <c r="H44" i="1"/>
  <c r="E45" i="1"/>
  <c r="H45" i="1"/>
  <c r="E46" i="1"/>
  <c r="H46" i="1"/>
  <c r="E47" i="1"/>
  <c r="H47" i="1"/>
  <c r="E4" i="1"/>
  <c r="E48" i="1" s="1"/>
  <c r="S5" i="1"/>
  <c r="U5" i="1"/>
  <c r="S6" i="1"/>
  <c r="U6" i="1"/>
  <c r="S7" i="1"/>
  <c r="U7" i="1"/>
  <c r="S8" i="1"/>
  <c r="U8" i="1"/>
  <c r="S9" i="1"/>
  <c r="U9" i="1"/>
  <c r="S10" i="1"/>
  <c r="U10" i="1"/>
  <c r="S11" i="1"/>
  <c r="U11" i="1"/>
  <c r="S12" i="1"/>
  <c r="U12" i="1"/>
  <c r="S13" i="1"/>
  <c r="U13" i="1"/>
  <c r="S14" i="1"/>
  <c r="U14" i="1"/>
  <c r="S15" i="1"/>
  <c r="U15" i="1"/>
  <c r="S16" i="1"/>
  <c r="U16" i="1"/>
  <c r="S17" i="1"/>
  <c r="U17" i="1"/>
  <c r="S18" i="1"/>
  <c r="U18" i="1"/>
  <c r="S19" i="1"/>
  <c r="U19" i="1"/>
  <c r="S20" i="1"/>
  <c r="U20" i="1"/>
  <c r="S21" i="1"/>
  <c r="U21" i="1"/>
  <c r="S22" i="1"/>
  <c r="U22" i="1"/>
  <c r="S23" i="1"/>
  <c r="U23" i="1"/>
  <c r="S24" i="1"/>
  <c r="U24" i="1"/>
  <c r="S25" i="1"/>
  <c r="U25" i="1"/>
  <c r="S26" i="1"/>
  <c r="U26" i="1"/>
  <c r="S27" i="1"/>
  <c r="U27" i="1"/>
  <c r="S28" i="1"/>
  <c r="U28" i="1"/>
  <c r="S29" i="1"/>
  <c r="U29" i="1"/>
  <c r="S30" i="1"/>
  <c r="U30" i="1"/>
  <c r="S31" i="1"/>
  <c r="U31" i="1"/>
  <c r="S32" i="1"/>
  <c r="U32" i="1"/>
  <c r="S33" i="1"/>
  <c r="U33" i="1"/>
  <c r="S34" i="1"/>
  <c r="U34" i="1"/>
  <c r="S35" i="1"/>
  <c r="U35" i="1"/>
  <c r="S36" i="1"/>
  <c r="U36" i="1"/>
  <c r="S37" i="1"/>
  <c r="U37" i="1"/>
  <c r="S38" i="1"/>
  <c r="U38" i="1"/>
  <c r="S39" i="1"/>
  <c r="U39" i="1"/>
  <c r="S40" i="1"/>
  <c r="U40" i="1"/>
  <c r="S41" i="1"/>
  <c r="U41" i="1"/>
  <c r="S42" i="1"/>
  <c r="U42" i="1"/>
  <c r="S43" i="1"/>
  <c r="U43" i="1"/>
  <c r="S44" i="1"/>
  <c r="U44" i="1"/>
  <c r="S45" i="1"/>
  <c r="U45" i="1"/>
  <c r="S46" i="1"/>
  <c r="U46" i="1"/>
  <c r="S47" i="1"/>
  <c r="U47" i="1"/>
  <c r="M5" i="1"/>
  <c r="O5" i="1"/>
  <c r="M6" i="1"/>
  <c r="O6" i="1"/>
  <c r="M7" i="1"/>
  <c r="O7" i="1"/>
  <c r="M8" i="1"/>
  <c r="O8" i="1"/>
  <c r="M9" i="1"/>
  <c r="O9" i="1"/>
  <c r="M10" i="1"/>
  <c r="O10" i="1"/>
  <c r="M11" i="1"/>
  <c r="O11" i="1"/>
  <c r="M12" i="1"/>
  <c r="O12" i="1"/>
  <c r="M13" i="1"/>
  <c r="O13" i="1"/>
  <c r="M14" i="1"/>
  <c r="O14" i="1"/>
  <c r="M15" i="1"/>
  <c r="O15" i="1"/>
  <c r="M16" i="1"/>
  <c r="O16" i="1"/>
  <c r="M17" i="1"/>
  <c r="O17" i="1"/>
  <c r="M18" i="1"/>
  <c r="O18" i="1"/>
  <c r="M19" i="1"/>
  <c r="O19" i="1"/>
  <c r="M20" i="1"/>
  <c r="O20" i="1"/>
  <c r="M21" i="1"/>
  <c r="O21" i="1"/>
  <c r="M22" i="1"/>
  <c r="O22" i="1"/>
  <c r="M23" i="1"/>
  <c r="O23" i="1"/>
  <c r="M24" i="1"/>
  <c r="O24" i="1"/>
  <c r="M25" i="1"/>
  <c r="O25" i="1"/>
  <c r="M26" i="1"/>
  <c r="O26" i="1"/>
  <c r="M27" i="1"/>
  <c r="O27" i="1"/>
  <c r="M28" i="1"/>
  <c r="O28" i="1"/>
  <c r="M29" i="1"/>
  <c r="O29" i="1"/>
  <c r="M30" i="1"/>
  <c r="O30" i="1"/>
  <c r="M31" i="1"/>
  <c r="O31" i="1"/>
  <c r="M32" i="1"/>
  <c r="O32" i="1"/>
  <c r="M33" i="1"/>
  <c r="O33" i="1"/>
  <c r="M34" i="1"/>
  <c r="O34" i="1"/>
  <c r="M35" i="1"/>
  <c r="O35" i="1"/>
  <c r="M36" i="1"/>
  <c r="O36" i="1"/>
  <c r="M37" i="1"/>
  <c r="O37" i="1"/>
  <c r="M38" i="1"/>
  <c r="O38" i="1"/>
  <c r="M39" i="1"/>
  <c r="O39" i="1"/>
  <c r="M40" i="1"/>
  <c r="O40" i="1"/>
  <c r="M41" i="1"/>
  <c r="O41" i="1"/>
  <c r="M42" i="1"/>
  <c r="O42" i="1"/>
  <c r="M43" i="1"/>
  <c r="O43" i="1"/>
  <c r="M44" i="1"/>
  <c r="O44" i="1"/>
  <c r="M45" i="1"/>
  <c r="O45" i="1"/>
  <c r="M46" i="1"/>
  <c r="O46" i="1"/>
  <c r="M47" i="1"/>
  <c r="O47" i="1"/>
  <c r="M4" i="1"/>
  <c r="S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" i="1"/>
  <c r="AO48" i="1"/>
  <c r="AR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H4" i="1"/>
  <c r="H48" i="1"/>
  <c r="E58" i="1"/>
  <c r="E55" i="1"/>
  <c r="M82" i="1" s="1"/>
  <c r="S48" i="1"/>
  <c r="U4" i="1"/>
  <c r="U48" i="1"/>
  <c r="M48" i="1"/>
  <c r="O4" i="1"/>
  <c r="O48" i="1"/>
  <c r="AJ48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" i="1"/>
  <c r="AP48" i="1"/>
  <c r="AS4" i="1"/>
  <c r="D58" i="1"/>
  <c r="E56" i="1"/>
  <c r="L82" i="1" s="1"/>
  <c r="D56" i="1"/>
  <c r="E57" i="1"/>
  <c r="K82" i="1" s="1"/>
  <c r="D57" i="1"/>
  <c r="F58" i="1" l="1"/>
  <c r="G58" i="1" s="1"/>
  <c r="F57" i="1"/>
  <c r="G57" i="1" s="1"/>
  <c r="F56" i="1"/>
  <c r="G56" i="1" s="1"/>
  <c r="F55" i="1"/>
  <c r="D55" i="1"/>
  <c r="D59" i="1" s="1"/>
  <c r="G48" i="1"/>
  <c r="E59" i="1"/>
  <c r="E60" i="1" s="1"/>
  <c r="F60" i="1" l="1"/>
  <c r="G60" i="1" s="1"/>
  <c r="G55" i="1"/>
</calcChain>
</file>

<file path=xl/sharedStrings.xml><?xml version="1.0" encoding="utf-8"?>
<sst xmlns="http://schemas.openxmlformats.org/spreadsheetml/2006/main" count="506" uniqueCount="91">
  <si>
    <t>Constante</t>
  </si>
  <si>
    <t xml:space="preserve">Tensao </t>
  </si>
  <si>
    <t>Corrente</t>
  </si>
  <si>
    <t>TEnsâo</t>
  </si>
  <si>
    <t>LED VERMELHO</t>
  </si>
  <si>
    <t>LED RBW</t>
  </si>
  <si>
    <t>LED Branco</t>
  </si>
  <si>
    <t>Led Azul</t>
  </si>
  <si>
    <t xml:space="preserve"> TODOS OS LEDS</t>
  </si>
  <si>
    <t>Minuto</t>
  </si>
  <si>
    <t>Tensão</t>
  </si>
  <si>
    <t>Watts</t>
  </si>
  <si>
    <t>PAC</t>
  </si>
  <si>
    <t xml:space="preserve">Radiação (u. mol) </t>
  </si>
  <si>
    <t>Potencia DC</t>
  </si>
  <si>
    <t>POTENCIA CORRIGIDA</t>
  </si>
  <si>
    <t>Potência DC</t>
  </si>
  <si>
    <t>POTENCIA  CORRIGIDA</t>
  </si>
  <si>
    <t>P_total AC</t>
  </si>
  <si>
    <t>P_total DC</t>
  </si>
  <si>
    <t>Gaussiana</t>
  </si>
  <si>
    <t>Delta T</t>
  </si>
  <si>
    <t>Pontos</t>
  </si>
  <si>
    <t>Período</t>
  </si>
  <si>
    <t>%</t>
  </si>
  <si>
    <t>WH(dia)</t>
  </si>
  <si>
    <t>WH</t>
  </si>
  <si>
    <t>Variação %</t>
  </si>
  <si>
    <t>Consumo vermelho</t>
  </si>
  <si>
    <t>Consumo RBW</t>
  </si>
  <si>
    <t>Consumo Branco</t>
  </si>
  <si>
    <t>Consumo Azul</t>
  </si>
  <si>
    <t>Perdas nos eletrônicos</t>
  </si>
  <si>
    <t>TOTAL</t>
  </si>
  <si>
    <t xml:space="preserve">olha o whatsaap </t>
  </si>
  <si>
    <t>Taxa de germinação</t>
  </si>
  <si>
    <t xml:space="preserve">Grama </t>
  </si>
  <si>
    <t>Gauss</t>
  </si>
  <si>
    <t>Sesame</t>
  </si>
  <si>
    <t>19G</t>
  </si>
  <si>
    <t>Blue</t>
  </si>
  <si>
    <t>White</t>
  </si>
  <si>
    <t>RBW</t>
  </si>
  <si>
    <t>RED</t>
  </si>
  <si>
    <t>22G</t>
  </si>
  <si>
    <t>14G</t>
  </si>
  <si>
    <t>ETM2 Unidade KWH/TempCultivo</t>
  </si>
  <si>
    <t>5G</t>
  </si>
  <si>
    <t>MSM2 unidade grama por metro quadrado</t>
  </si>
  <si>
    <t>Consumo energético por grama</t>
  </si>
  <si>
    <t>3G</t>
  </si>
  <si>
    <t>10G</t>
  </si>
  <si>
    <t>8G</t>
  </si>
  <si>
    <t>ETM2 Energia total por metro quadrado</t>
  </si>
  <si>
    <t>MSM2 (Materia seca por metro quadrado)</t>
  </si>
  <si>
    <t>18G</t>
  </si>
  <si>
    <t xml:space="preserve">Minutos </t>
  </si>
  <si>
    <t>constante 200</t>
  </si>
  <si>
    <t>141.4</t>
  </si>
  <si>
    <t>200 umol</t>
  </si>
  <si>
    <t>141.5</t>
  </si>
  <si>
    <t>142.1</t>
  </si>
  <si>
    <t xml:space="preserve">minuto </t>
  </si>
  <si>
    <t xml:space="preserve">tensão </t>
  </si>
  <si>
    <t>tensão</t>
  </si>
  <si>
    <t>corrente</t>
  </si>
  <si>
    <t>watts</t>
  </si>
  <si>
    <t>//</t>
  </si>
  <si>
    <t>Regime</t>
  </si>
  <si>
    <t>tratamento</t>
  </si>
  <si>
    <t>Days</t>
  </si>
  <si>
    <t>Ligth</t>
  </si>
  <si>
    <t>HFW</t>
  </si>
  <si>
    <t>LFW</t>
  </si>
  <si>
    <t>HMD</t>
  </si>
  <si>
    <t>LMD</t>
  </si>
  <si>
    <t>FvFm</t>
  </si>
  <si>
    <t>Y2</t>
  </si>
  <si>
    <t>NPQ</t>
  </si>
  <si>
    <t>qP</t>
  </si>
  <si>
    <t>ETR</t>
  </si>
  <si>
    <t>Chla</t>
  </si>
  <si>
    <t>Chlb</t>
  </si>
  <si>
    <t>Cart</t>
  </si>
  <si>
    <t>TMD</t>
  </si>
  <si>
    <t>EnE</t>
  </si>
  <si>
    <t>CTLA</t>
  </si>
  <si>
    <t>CALA</t>
  </si>
  <si>
    <t>CHL</t>
  </si>
  <si>
    <t>ChlT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</si>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</sst>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2" xfId="0" applyNumberFormat="1" applyBorder="1" applyAlignment="1">
      <alignment horizontal="center"/>
    </xf>
    <xf numFmtId="3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'Gaussina  Vermelha'!$AJ$4:$AJ$47</c:f>
              <c:numCache>
                <c:formatCode>General</c:formatCode>
                <c:ptCount val="44"/>
                <c:pt idx="0">
                  <c:v>59.134602999999998</c:v>
                </c:pt>
                <c:pt idx="1">
                  <c:v>59.145085999999999</c:v>
                </c:pt>
                <c:pt idx="2">
                  <c:v>59.795031999999999</c:v>
                </c:pt>
                <c:pt idx="3">
                  <c:v>60.801400000000001</c:v>
                </c:pt>
                <c:pt idx="4">
                  <c:v>61.482794999999996</c:v>
                </c:pt>
                <c:pt idx="5">
                  <c:v>66.325941</c:v>
                </c:pt>
                <c:pt idx="6">
                  <c:v>71.420678999999993</c:v>
                </c:pt>
                <c:pt idx="7">
                  <c:v>79.859494000000012</c:v>
                </c:pt>
                <c:pt idx="8">
                  <c:v>88.088649000000004</c:v>
                </c:pt>
                <c:pt idx="9">
                  <c:v>98.382954999999995</c:v>
                </c:pt>
                <c:pt idx="10">
                  <c:v>108.928853</c:v>
                </c:pt>
                <c:pt idx="11">
                  <c:v>120.37227690920865</c:v>
                </c:pt>
                <c:pt idx="12">
                  <c:v>142.84831782526501</c:v>
                </c:pt>
                <c:pt idx="13">
                  <c:v>167.59097123852163</c:v>
                </c:pt>
                <c:pt idx="14">
                  <c:v>191.52019694043705</c:v>
                </c:pt>
                <c:pt idx="15">
                  <c:v>216.25334405521534</c:v>
                </c:pt>
                <c:pt idx="16">
                  <c:v>244.21022900809717</c:v>
                </c:pt>
                <c:pt idx="17">
                  <c:v>268.81966313804912</c:v>
                </c:pt>
                <c:pt idx="18">
                  <c:v>288.72312054164018</c:v>
                </c:pt>
                <c:pt idx="19">
                  <c:v>308.21572941883613</c:v>
                </c:pt>
                <c:pt idx="20">
                  <c:v>316.26118461883607</c:v>
                </c:pt>
                <c:pt idx="21">
                  <c:v>322.91455443478503</c:v>
                </c:pt>
                <c:pt idx="22">
                  <c:v>317.63628928949117</c:v>
                </c:pt>
                <c:pt idx="23">
                  <c:v>313.66962083825297</c:v>
                </c:pt>
                <c:pt idx="24">
                  <c:v>296.72213306393428</c:v>
                </c:pt>
                <c:pt idx="25">
                  <c:v>279.56933824660024</c:v>
                </c:pt>
                <c:pt idx="26">
                  <c:v>255.8031021972111</c:v>
                </c:pt>
                <c:pt idx="27">
                  <c:v>231.53557530957752</c:v>
                </c:pt>
                <c:pt idx="28">
                  <c:v>205.20775615174213</c:v>
                </c:pt>
                <c:pt idx="29">
                  <c:v>179.42577587328665</c:v>
                </c:pt>
                <c:pt idx="30">
                  <c:v>153.65990454827309</c:v>
                </c:pt>
                <c:pt idx="31">
                  <c:v>132.0989565831936</c:v>
                </c:pt>
                <c:pt idx="32">
                  <c:v>110.29121722581733</c:v>
                </c:pt>
                <c:pt idx="33">
                  <c:v>99.336908000000008</c:v>
                </c:pt>
                <c:pt idx="34">
                  <c:v>91.306929999999994</c:v>
                </c:pt>
                <c:pt idx="35">
                  <c:v>82.102855999999989</c:v>
                </c:pt>
                <c:pt idx="36">
                  <c:v>72.563326000000004</c:v>
                </c:pt>
                <c:pt idx="37">
                  <c:v>68.034670000000006</c:v>
                </c:pt>
                <c:pt idx="38">
                  <c:v>61.786802000000002</c:v>
                </c:pt>
                <c:pt idx="39">
                  <c:v>57.761330000000001</c:v>
                </c:pt>
                <c:pt idx="40">
                  <c:v>56.880758</c:v>
                </c:pt>
                <c:pt idx="41">
                  <c:v>56.859792000000006</c:v>
                </c:pt>
                <c:pt idx="42">
                  <c:v>56.859792000000006</c:v>
                </c:pt>
                <c:pt idx="43">
                  <c:v>56.859792000000006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F-4C79-B54B-3062BA147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3569416"/>
        <c:axId val="1863573512"/>
      </c:lineChart>
      <c:catAx>
        <c:axId val="1863569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573512"/>
        <c:crosses val="autoZero"/>
        <c:auto val="1"/>
        <c:lblAlgn val="ctr"/>
        <c:lblOffset val="100"/>
        <c:noMultiLvlLbl val="0"/>
      </c:catAx>
      <c:valAx>
        <c:axId val="186357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569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523875</xdr:colOff>
      <xdr:row>19</xdr:row>
      <xdr:rowOff>161925</xdr:rowOff>
    </xdr:from>
    <xdr:to>
      <xdr:col>54</xdr:col>
      <xdr:colOff>219075</xdr:colOff>
      <xdr:row>33</xdr:row>
      <xdr:rowOff>180975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978E6E-6003-6881-57A1-430A152F7B38}"/>
            </a:ext>
            <a:ext uri="{147F2762-F138-4A5C-976F-8EAC2B608ADB}">
              <a16:predDERef xmlns:a16="http://schemas.microsoft.com/office/drawing/2014/main" pred="{DD2272B0-92B5-F7F9-B1ED-1F8A8981E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66050" y="3781425"/>
          <a:ext cx="4572000" cy="2686050"/>
        </a:xfrm>
        <a:prstGeom prst="rect">
          <a:avLst/>
        </a:prstGeom>
      </xdr:spPr>
    </xdr:pic>
    <xdr:clientData/>
  </xdr:twoCellAnchor>
  <xdr:twoCellAnchor>
    <xdr:from>
      <xdr:col>90</xdr:col>
      <xdr:colOff>371475</xdr:colOff>
      <xdr:row>30</xdr:row>
      <xdr:rowOff>171450</xdr:rowOff>
    </xdr:from>
    <xdr:to>
      <xdr:col>96</xdr:col>
      <xdr:colOff>466725</xdr:colOff>
      <xdr:row>48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243212-FE06-AFE4-5711-A92ACE67A8AD}"/>
            </a:ext>
            <a:ext uri="{147F2762-F138-4A5C-976F-8EAC2B608ADB}">
              <a16:predDERef xmlns:a16="http://schemas.microsoft.com/office/drawing/2014/main" pred="{00978E6E-6003-6881-57A1-430A152F7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3"/>
  <sheetViews>
    <sheetView tabSelected="1" topLeftCell="A68" workbookViewId="0">
      <selection activeCell="F82" sqref="F82:F87"/>
    </sheetView>
  </sheetViews>
  <sheetFormatPr defaultRowHeight="15"/>
  <cols>
    <col min="2" max="2" width="10.85546875" customWidth="1"/>
    <col min="3" max="3" width="11" customWidth="1"/>
    <col min="4" max="4" width="6.140625" bestFit="1" customWidth="1"/>
    <col min="5" max="5" width="10" customWidth="1"/>
    <col min="6" max="6" width="16.7109375" bestFit="1" customWidth="1"/>
    <col min="7" max="7" width="14" customWidth="1"/>
    <col min="8" max="8" width="37.28515625" style="1" customWidth="1"/>
    <col min="9" max="9" width="15.7109375" customWidth="1"/>
    <col min="10" max="10" width="24" customWidth="1"/>
    <col min="11" max="11" width="16.140625" customWidth="1"/>
    <col min="14" max="14" width="16.7109375" bestFit="1" customWidth="1"/>
    <col min="15" max="15" width="21" customWidth="1"/>
    <col min="18" max="18" width="12" customWidth="1"/>
    <col min="21" max="21" width="20.85546875" customWidth="1"/>
    <col min="22" max="22" width="16.7109375" bestFit="1" customWidth="1"/>
    <col min="25" max="25" width="13" customWidth="1"/>
    <col min="28" max="28" width="22.140625" customWidth="1"/>
    <col min="29" max="29" width="16.7109375" bestFit="1" customWidth="1"/>
    <col min="30" max="30" width="12.140625" customWidth="1"/>
    <col min="35" max="36" width="19.85546875" customWidth="1"/>
    <col min="38" max="38" width="15.5703125" style="1" customWidth="1"/>
    <col min="39" max="39" width="17.42578125" style="2" customWidth="1"/>
  </cols>
  <sheetData>
    <row r="1" spans="1:46">
      <c r="AE1" t="s">
        <v>0</v>
      </c>
      <c r="AF1" t="s">
        <v>1</v>
      </c>
      <c r="AH1" t="s">
        <v>2</v>
      </c>
      <c r="AI1" t="s">
        <v>3</v>
      </c>
    </row>
    <row r="2" spans="1:46">
      <c r="A2" s="1"/>
      <c r="B2" s="15" t="s">
        <v>4</v>
      </c>
      <c r="C2" s="15"/>
      <c r="D2" s="15"/>
      <c r="E2" s="15"/>
      <c r="F2" s="15"/>
      <c r="G2" s="15"/>
      <c r="H2" s="15"/>
      <c r="I2" s="15" t="s">
        <v>5</v>
      </c>
      <c r="J2" s="15"/>
      <c r="K2" s="15"/>
      <c r="L2" s="15"/>
      <c r="M2" s="15"/>
      <c r="N2" s="15"/>
      <c r="O2" s="15"/>
      <c r="P2" s="15" t="s">
        <v>6</v>
      </c>
      <c r="Q2" s="15"/>
      <c r="R2" s="15"/>
      <c r="S2" s="15"/>
      <c r="T2" s="15"/>
      <c r="U2" s="15"/>
      <c r="V2" s="15"/>
      <c r="W2" s="15" t="s">
        <v>7</v>
      </c>
      <c r="X2" s="15"/>
      <c r="Y2" s="15"/>
      <c r="Z2" s="15"/>
      <c r="AA2" s="15"/>
      <c r="AB2" s="15"/>
      <c r="AC2" s="15"/>
      <c r="AD2" s="15"/>
      <c r="AF2">
        <v>126.3</v>
      </c>
      <c r="AH2">
        <v>0.14000000000000001</v>
      </c>
      <c r="AI2">
        <v>26.82</v>
      </c>
      <c r="AJ2" t="s">
        <v>8</v>
      </c>
      <c r="AR2">
        <v>7.8</v>
      </c>
      <c r="AS2">
        <v>16</v>
      </c>
      <c r="AT2">
        <v>20</v>
      </c>
    </row>
    <row r="3" spans="1:46">
      <c r="A3" t="s">
        <v>9</v>
      </c>
      <c r="B3" t="s">
        <v>10</v>
      </c>
      <c r="C3" t="s">
        <v>2</v>
      </c>
      <c r="D3" t="s">
        <v>11</v>
      </c>
      <c r="E3" t="s">
        <v>12</v>
      </c>
      <c r="F3" t="s">
        <v>13</v>
      </c>
      <c r="G3" t="s">
        <v>14</v>
      </c>
      <c r="H3" s="1" t="s">
        <v>15</v>
      </c>
      <c r="I3" t="s">
        <v>10</v>
      </c>
      <c r="J3" t="s">
        <v>2</v>
      </c>
      <c r="K3" t="s">
        <v>16</v>
      </c>
      <c r="L3" t="s">
        <v>11</v>
      </c>
      <c r="M3" t="s">
        <v>12</v>
      </c>
      <c r="N3" t="s">
        <v>13</v>
      </c>
      <c r="O3" s="1" t="s">
        <v>15</v>
      </c>
      <c r="P3" t="s">
        <v>10</v>
      </c>
      <c r="Q3" t="s">
        <v>2</v>
      </c>
      <c r="R3" t="s">
        <v>16</v>
      </c>
      <c r="S3" t="s">
        <v>12</v>
      </c>
      <c r="T3" t="s">
        <v>11</v>
      </c>
      <c r="U3" t="s">
        <v>15</v>
      </c>
      <c r="V3" t="s">
        <v>13</v>
      </c>
      <c r="W3" t="s">
        <v>10</v>
      </c>
      <c r="X3" t="s">
        <v>2</v>
      </c>
      <c r="Y3" t="s">
        <v>16</v>
      </c>
      <c r="Z3" t="s">
        <v>12</v>
      </c>
      <c r="AA3" t="s">
        <v>11</v>
      </c>
      <c r="AB3" t="s">
        <v>17</v>
      </c>
      <c r="AC3" t="s">
        <v>13</v>
      </c>
      <c r="AD3" t="s">
        <v>16</v>
      </c>
      <c r="AJ3" t="s">
        <v>15</v>
      </c>
      <c r="AL3" s="1" t="s">
        <v>18</v>
      </c>
      <c r="AM3" s="2" t="s">
        <v>19</v>
      </c>
    </row>
    <row r="4" spans="1:46">
      <c r="A4">
        <v>1</v>
      </c>
      <c r="B4">
        <v>120.7</v>
      </c>
      <c r="C4">
        <v>7.0000000000000007E-2</v>
      </c>
      <c r="D4">
        <v>18.05</v>
      </c>
      <c r="E4">
        <f>D4-7.8</f>
        <v>10.25</v>
      </c>
      <c r="F4">
        <v>106.5</v>
      </c>
      <c r="G4">
        <f>B4*C4</f>
        <v>8.4490000000000016</v>
      </c>
      <c r="H4" s="9">
        <f>E4*1.0483</f>
        <v>10.745075</v>
      </c>
      <c r="I4">
        <v>141.4</v>
      </c>
      <c r="J4">
        <v>7.0000000000000007E-2</v>
      </c>
      <c r="K4">
        <f>I4*J4</f>
        <v>9.8980000000000015</v>
      </c>
      <c r="L4">
        <v>27.07</v>
      </c>
      <c r="M4">
        <f>L4-D4</f>
        <v>9.02</v>
      </c>
      <c r="N4">
        <v>92.7</v>
      </c>
      <c r="O4" s="9">
        <f>M4*1.0483</f>
        <v>9.455665999999999</v>
      </c>
      <c r="P4">
        <v>179.6</v>
      </c>
      <c r="Q4">
        <v>7.0000000000000007E-2</v>
      </c>
      <c r="R4">
        <f>P4*Q4</f>
        <v>12.572000000000001</v>
      </c>
      <c r="S4">
        <f>T4-L4</f>
        <v>13.659999999999997</v>
      </c>
      <c r="T4">
        <v>40.729999999999997</v>
      </c>
      <c r="U4" s="9">
        <f>S4*1.0483</f>
        <v>14.319777999999996</v>
      </c>
      <c r="V4">
        <v>101.6</v>
      </c>
      <c r="W4">
        <v>181</v>
      </c>
      <c r="X4">
        <v>0.08</v>
      </c>
      <c r="Y4">
        <f>W4*X4</f>
        <v>14.48</v>
      </c>
      <c r="Z4">
        <f>AA4-T4</f>
        <v>15.68</v>
      </c>
      <c r="AA4">
        <v>56.41</v>
      </c>
      <c r="AB4" s="9">
        <f>Z4*1.0483</f>
        <v>16.437344</v>
      </c>
      <c r="AC4">
        <v>103.6</v>
      </c>
      <c r="AD4">
        <f>W4*X4</f>
        <v>14.48</v>
      </c>
      <c r="AE4">
        <f>V4/T4</f>
        <v>2.4944758163515837</v>
      </c>
      <c r="AF4">
        <f>V4/(W4*X4)</f>
        <v>7.0165745856353583</v>
      </c>
      <c r="AG4">
        <v>0</v>
      </c>
      <c r="AI4">
        <f t="shared" ref="AI4:AI46" si="0">AA4*1.524*EXP(-(AG4-21.5)*(AG4-21.5)*0.00080926)</f>
        <v>59.13981995398543</v>
      </c>
      <c r="AJ4">
        <f>AA4*1.0483</f>
        <v>59.134602999999998</v>
      </c>
      <c r="AK4">
        <v>1</v>
      </c>
      <c r="AL4" s="1">
        <f>AA4</f>
        <v>56.41</v>
      </c>
      <c r="AM4" s="2">
        <f>B4*C4+I4*J4+P4*Q4+W4*X4</f>
        <v>45.399000000000001</v>
      </c>
      <c r="AO4">
        <f>D4-B4*C4-AR$2-AS$2*C4-AT$2*C4*C4</f>
        <v>0.58299999999999919</v>
      </c>
      <c r="AP4">
        <f>(AO4-AO$48)^2</f>
        <v>3.7477440082644413E-2</v>
      </c>
      <c r="AR4">
        <f>AO48</f>
        <v>0.38940909090909065</v>
      </c>
      <c r="AS4">
        <f>AP48</f>
        <v>145.99897663636372</v>
      </c>
    </row>
    <row r="5" spans="1:46">
      <c r="A5">
        <v>2</v>
      </c>
      <c r="B5">
        <v>120.7</v>
      </c>
      <c r="C5">
        <v>7.0000000000000007E-2</v>
      </c>
      <c r="D5">
        <v>18.02</v>
      </c>
      <c r="E5">
        <f t="shared" ref="E5:E47" si="1">D5-7.8</f>
        <v>10.219999999999999</v>
      </c>
      <c r="F5">
        <v>106.5</v>
      </c>
      <c r="G5">
        <f t="shared" ref="G5:G47" si="2">B5*C5</f>
        <v>8.4490000000000016</v>
      </c>
      <c r="H5" s="9">
        <f t="shared" ref="H5:H14" si="3">E5*1.0483</f>
        <v>10.713626</v>
      </c>
      <c r="I5">
        <v>141.5</v>
      </c>
      <c r="J5">
        <v>7.0000000000000007E-2</v>
      </c>
      <c r="K5">
        <f t="shared" ref="K5:K47" si="4">I5*J5</f>
        <v>9.9050000000000011</v>
      </c>
      <c r="L5">
        <v>26.94</v>
      </c>
      <c r="M5">
        <f>L5-D5</f>
        <v>8.9200000000000017</v>
      </c>
      <c r="N5">
        <v>92.7</v>
      </c>
      <c r="O5" s="9">
        <f t="shared" ref="O5:O14" si="5">M5*1.0483</f>
        <v>9.350836000000001</v>
      </c>
      <c r="P5">
        <v>179.8</v>
      </c>
      <c r="Q5">
        <v>7.0000000000000007E-2</v>
      </c>
      <c r="R5">
        <f t="shared" ref="R5:R47" si="6">P5*Q5</f>
        <v>12.586000000000002</v>
      </c>
      <c r="S5">
        <f t="shared" ref="S5:S47" si="7">T5-L5</f>
        <v>13.620000000000001</v>
      </c>
      <c r="T5">
        <v>40.56</v>
      </c>
      <c r="U5" s="9">
        <f t="shared" ref="U5:U14" si="8">S5*1.0483</f>
        <v>14.277846000000002</v>
      </c>
      <c r="V5">
        <v>101.6</v>
      </c>
      <c r="W5">
        <v>181.2</v>
      </c>
      <c r="X5">
        <v>0.08</v>
      </c>
      <c r="Y5">
        <f t="shared" ref="Y5:Y47" si="9">W5*X5</f>
        <v>14.495999999999999</v>
      </c>
      <c r="Z5">
        <f>AA5-T5</f>
        <v>15.86</v>
      </c>
      <c r="AA5">
        <v>56.42</v>
      </c>
      <c r="AB5" s="9">
        <f t="shared" ref="AB5:AB14" si="10">Z5*1.0483</f>
        <v>16.626038000000001</v>
      </c>
      <c r="AC5">
        <v>103.6</v>
      </c>
      <c r="AD5">
        <f t="shared" ref="AD5:AD47" si="11">W5*X5</f>
        <v>14.495999999999999</v>
      </c>
      <c r="AE5">
        <f t="shared" ref="AE5:AE47" si="12">V5/T5</f>
        <v>2.5049309664694279</v>
      </c>
      <c r="AF5">
        <f>V5/(W5*X5)</f>
        <v>7.0088300220750552</v>
      </c>
      <c r="AG5">
        <v>1</v>
      </c>
      <c r="AI5">
        <f t="shared" si="0"/>
        <v>61.195315828454959</v>
      </c>
      <c r="AJ5">
        <f t="shared" ref="AJ5:AJ15" si="13">AA5*1.0483</f>
        <v>59.145085999999999</v>
      </c>
      <c r="AK5">
        <v>2</v>
      </c>
      <c r="AL5" s="1">
        <f t="shared" ref="AL5:AL47" si="14">AA5</f>
        <v>56.42</v>
      </c>
      <c r="AM5" s="2">
        <f>B5*C5+I5*J5+P5*Q5+W5*X5</f>
        <v>45.436000000000007</v>
      </c>
      <c r="AO5">
        <f>D5-B5*C5-AR$2-AS$2*C5-AT$2*C5*C5</f>
        <v>0.55299999999999805</v>
      </c>
      <c r="AP5">
        <f t="shared" ref="AP5:AP47" si="15">(AO5-AO$48)^2</f>
        <v>2.6761985537189528E-2</v>
      </c>
    </row>
    <row r="6" spans="1:46">
      <c r="A6">
        <v>3</v>
      </c>
      <c r="B6">
        <v>121.1</v>
      </c>
      <c r="C6">
        <v>0.08</v>
      </c>
      <c r="D6">
        <v>18.38</v>
      </c>
      <c r="E6">
        <f t="shared" si="1"/>
        <v>10.579999999999998</v>
      </c>
      <c r="F6">
        <v>112.55</v>
      </c>
      <c r="G6">
        <f t="shared" si="2"/>
        <v>9.6880000000000006</v>
      </c>
      <c r="H6" s="9">
        <f t="shared" si="3"/>
        <v>11.091013999999998</v>
      </c>
      <c r="I6">
        <v>141.5</v>
      </c>
      <c r="J6">
        <v>7.0000000000000007E-2</v>
      </c>
      <c r="K6">
        <f t="shared" si="4"/>
        <v>9.9050000000000011</v>
      </c>
      <c r="L6">
        <v>27.05</v>
      </c>
      <c r="M6">
        <f>L6-D6</f>
        <v>8.6700000000000017</v>
      </c>
      <c r="N6">
        <v>92.7</v>
      </c>
      <c r="O6" s="9">
        <f t="shared" si="5"/>
        <v>9.0887610000000016</v>
      </c>
      <c r="P6">
        <v>179.8</v>
      </c>
      <c r="Q6">
        <v>7.0000000000000007E-2</v>
      </c>
      <c r="R6">
        <f t="shared" si="6"/>
        <v>12.586000000000002</v>
      </c>
      <c r="S6">
        <f t="shared" si="7"/>
        <v>14.279999999999998</v>
      </c>
      <c r="T6">
        <v>41.33</v>
      </c>
      <c r="U6" s="9">
        <f t="shared" si="8"/>
        <v>14.969723999999998</v>
      </c>
      <c r="V6">
        <v>101.6</v>
      </c>
      <c r="W6">
        <v>181.2</v>
      </c>
      <c r="X6">
        <v>0.08</v>
      </c>
      <c r="Y6">
        <f t="shared" si="9"/>
        <v>14.495999999999999</v>
      </c>
      <c r="Z6">
        <f>AA6-T6</f>
        <v>15.71</v>
      </c>
      <c r="AA6">
        <v>57.04</v>
      </c>
      <c r="AB6" s="9">
        <f t="shared" si="10"/>
        <v>16.468793000000002</v>
      </c>
      <c r="AC6">
        <v>103.6</v>
      </c>
      <c r="AD6">
        <f t="shared" si="11"/>
        <v>14.495999999999999</v>
      </c>
      <c r="AE6">
        <f t="shared" si="12"/>
        <v>2.4582627631260587</v>
      </c>
      <c r="AF6">
        <f>V6/(W6*X6)</f>
        <v>7.0088300220750552</v>
      </c>
      <c r="AG6">
        <v>2</v>
      </c>
      <c r="AI6">
        <f t="shared" si="0"/>
        <v>63.903243453782956</v>
      </c>
      <c r="AJ6">
        <f t="shared" si="13"/>
        <v>59.795031999999999</v>
      </c>
      <c r="AK6">
        <v>3</v>
      </c>
      <c r="AL6" s="1">
        <f t="shared" si="14"/>
        <v>57.04</v>
      </c>
      <c r="AM6" s="2">
        <f>B6*C6+I6*J6+P6*Q6+W6*X6</f>
        <v>46.674999999999997</v>
      </c>
      <c r="AO6">
        <f>D6-B6*C6-AR$2-AS$2*C6-AT$2*C6*C6</f>
        <v>-0.51600000000000146</v>
      </c>
      <c r="AP6">
        <f t="shared" si="15"/>
        <v>0.81976562190082869</v>
      </c>
    </row>
    <row r="7" spans="1:46">
      <c r="A7">
        <v>4</v>
      </c>
      <c r="B7">
        <v>121.3</v>
      </c>
      <c r="C7">
        <v>0.08</v>
      </c>
      <c r="D7">
        <v>18.64</v>
      </c>
      <c r="E7">
        <f t="shared" si="1"/>
        <v>10.84</v>
      </c>
      <c r="F7">
        <v>118.61</v>
      </c>
      <c r="G7">
        <f t="shared" si="2"/>
        <v>9.7040000000000006</v>
      </c>
      <c r="H7" s="9">
        <f t="shared" si="3"/>
        <v>11.363572</v>
      </c>
      <c r="I7">
        <v>142.1</v>
      </c>
      <c r="J7">
        <v>7.0000000000000007E-2</v>
      </c>
      <c r="K7">
        <f t="shared" si="4"/>
        <v>9.947000000000001</v>
      </c>
      <c r="L7">
        <v>27.67</v>
      </c>
      <c r="M7">
        <f>L7-D7</f>
        <v>9.0300000000000011</v>
      </c>
      <c r="N7">
        <v>98.14</v>
      </c>
      <c r="O7" s="9">
        <f t="shared" si="5"/>
        <v>9.4661490000000015</v>
      </c>
      <c r="P7">
        <v>180.2</v>
      </c>
      <c r="Q7">
        <v>0.08</v>
      </c>
      <c r="R7">
        <f t="shared" si="6"/>
        <v>14.415999999999999</v>
      </c>
      <c r="S7">
        <f t="shared" si="7"/>
        <v>14.579999999999998</v>
      </c>
      <c r="T7">
        <v>42.25</v>
      </c>
      <c r="U7" s="9">
        <f t="shared" si="8"/>
        <v>15.284213999999999</v>
      </c>
      <c r="V7">
        <v>110.86</v>
      </c>
      <c r="W7">
        <v>181.2</v>
      </c>
      <c r="X7">
        <v>0.08</v>
      </c>
      <c r="Y7">
        <f t="shared" si="9"/>
        <v>14.495999999999999</v>
      </c>
      <c r="Z7">
        <f>AA7-T7</f>
        <v>15.75</v>
      </c>
      <c r="AA7">
        <v>58</v>
      </c>
      <c r="AB7" s="9">
        <f t="shared" si="10"/>
        <v>16.510725000000001</v>
      </c>
      <c r="AC7">
        <v>103.6</v>
      </c>
      <c r="AD7">
        <f t="shared" si="11"/>
        <v>14.495999999999999</v>
      </c>
      <c r="AE7">
        <f t="shared" si="12"/>
        <v>2.6239053254437872</v>
      </c>
      <c r="AF7">
        <f>V7/(W7*X7)</f>
        <v>7.6476269315673298</v>
      </c>
      <c r="AG7">
        <v>3</v>
      </c>
      <c r="AI7">
        <f t="shared" si="0"/>
        <v>67.008014578449831</v>
      </c>
      <c r="AJ7">
        <f t="shared" si="13"/>
        <v>60.801400000000001</v>
      </c>
      <c r="AK7">
        <v>4</v>
      </c>
      <c r="AL7" s="1">
        <f t="shared" si="14"/>
        <v>58</v>
      </c>
      <c r="AM7" s="2">
        <f>B7*C7+I7*J7+P7*Q7+W7*X7</f>
        <v>48.563000000000002</v>
      </c>
      <c r="AO7">
        <f>D7-B7*C7-AR$2-AS$2*C7-AT$2*C7*C7</f>
        <v>-0.27199999999999991</v>
      </c>
      <c r="AP7">
        <f t="shared" si="15"/>
        <v>0.43746198553718968</v>
      </c>
    </row>
    <row r="8" spans="1:46">
      <c r="A8">
        <v>5</v>
      </c>
      <c r="B8">
        <v>121.6</v>
      </c>
      <c r="C8">
        <v>0.08</v>
      </c>
      <c r="D8">
        <v>18.93</v>
      </c>
      <c r="E8">
        <f t="shared" si="1"/>
        <v>11.129999999999999</v>
      </c>
      <c r="F8">
        <v>124.67</v>
      </c>
      <c r="G8">
        <f t="shared" si="2"/>
        <v>9.7279999999999998</v>
      </c>
      <c r="H8" s="9">
        <f t="shared" si="3"/>
        <v>11.667579</v>
      </c>
      <c r="I8">
        <v>142.1</v>
      </c>
      <c r="J8">
        <v>7.0000000000000007E-2</v>
      </c>
      <c r="K8">
        <f t="shared" si="4"/>
        <v>9.947000000000001</v>
      </c>
      <c r="L8">
        <v>28.32</v>
      </c>
      <c r="M8">
        <f>L8-D8</f>
        <v>9.39</v>
      </c>
      <c r="N8">
        <v>107.21</v>
      </c>
      <c r="O8" s="9">
        <f t="shared" si="5"/>
        <v>9.8435370000000013</v>
      </c>
      <c r="P8">
        <v>181.2</v>
      </c>
      <c r="Q8">
        <v>0.09</v>
      </c>
      <c r="R8">
        <f t="shared" si="6"/>
        <v>16.308</v>
      </c>
      <c r="S8">
        <f t="shared" si="7"/>
        <v>17.009999999999998</v>
      </c>
      <c r="T8">
        <v>45.33</v>
      </c>
      <c r="U8" s="9">
        <f t="shared" si="8"/>
        <v>17.831582999999998</v>
      </c>
      <c r="V8">
        <v>122.16</v>
      </c>
      <c r="W8">
        <v>181.2</v>
      </c>
      <c r="X8">
        <v>0.08</v>
      </c>
      <c r="Y8">
        <f t="shared" si="9"/>
        <v>14.495999999999999</v>
      </c>
      <c r="Z8">
        <f>AA8-T8</f>
        <v>13.32</v>
      </c>
      <c r="AA8">
        <v>58.65</v>
      </c>
      <c r="AB8" s="9">
        <f t="shared" si="10"/>
        <v>13.963356000000001</v>
      </c>
      <c r="AC8">
        <v>103.6</v>
      </c>
      <c r="AD8">
        <f t="shared" si="11"/>
        <v>14.495999999999999</v>
      </c>
      <c r="AE8">
        <f t="shared" si="12"/>
        <v>2.6949040370615487</v>
      </c>
      <c r="AF8">
        <f>V8/(W8*X8)</f>
        <v>8.427152317880795</v>
      </c>
      <c r="AG8">
        <v>4</v>
      </c>
      <c r="AI8">
        <f t="shared" si="0"/>
        <v>69.762049422865445</v>
      </c>
      <c r="AJ8">
        <f t="shared" si="13"/>
        <v>61.482794999999996</v>
      </c>
      <c r="AK8">
        <v>5</v>
      </c>
      <c r="AL8" s="1">
        <f t="shared" si="14"/>
        <v>58.65</v>
      </c>
      <c r="AM8" s="2">
        <f>B8*C8+I8*J8+P8*Q8+W8*X8</f>
        <v>50.478999999999999</v>
      </c>
      <c r="AO8">
        <f>D8-B8*C8-AR$2-AS$2*C8-AT$2*C8*C8</f>
        <v>-5.9999999999998943E-3</v>
      </c>
      <c r="AP8">
        <f t="shared" si="15"/>
        <v>0.15634834917355342</v>
      </c>
    </row>
    <row r="9" spans="1:46">
      <c r="A9">
        <v>6</v>
      </c>
      <c r="B9">
        <v>122</v>
      </c>
      <c r="C9">
        <v>0.09</v>
      </c>
      <c r="D9">
        <v>19.55</v>
      </c>
      <c r="E9">
        <f t="shared" si="1"/>
        <v>11.75</v>
      </c>
      <c r="F9">
        <v>139.79</v>
      </c>
      <c r="G9">
        <f t="shared" si="2"/>
        <v>10.98</v>
      </c>
      <c r="H9" s="9">
        <f t="shared" si="3"/>
        <v>12.317525</v>
      </c>
      <c r="I9">
        <v>143</v>
      </c>
      <c r="J9">
        <v>0.08</v>
      </c>
      <c r="K9">
        <f t="shared" si="4"/>
        <v>11.44</v>
      </c>
      <c r="L9">
        <v>29.55</v>
      </c>
      <c r="M9">
        <f>L9-D9</f>
        <v>10</v>
      </c>
      <c r="N9">
        <v>114.47</v>
      </c>
      <c r="O9" s="9">
        <f t="shared" si="5"/>
        <v>10.483000000000001</v>
      </c>
      <c r="P9">
        <v>182.7</v>
      </c>
      <c r="Q9">
        <v>0.1</v>
      </c>
      <c r="R9">
        <f t="shared" si="6"/>
        <v>18.27</v>
      </c>
      <c r="S9">
        <f t="shared" si="7"/>
        <v>20.599999999999998</v>
      </c>
      <c r="T9">
        <v>50.15</v>
      </c>
      <c r="U9" s="9">
        <f t="shared" si="8"/>
        <v>21.59498</v>
      </c>
      <c r="V9">
        <v>131.41999999999999</v>
      </c>
      <c r="W9">
        <v>181.7</v>
      </c>
      <c r="X9">
        <v>0.08</v>
      </c>
      <c r="Y9">
        <f t="shared" si="9"/>
        <v>14.536</v>
      </c>
      <c r="Z9">
        <f>AA9-T9</f>
        <v>13.120000000000005</v>
      </c>
      <c r="AA9">
        <v>63.27</v>
      </c>
      <c r="AB9" s="9">
        <f t="shared" si="10"/>
        <v>13.753696000000005</v>
      </c>
      <c r="AC9">
        <v>113.7</v>
      </c>
      <c r="AD9">
        <f t="shared" si="11"/>
        <v>14.536</v>
      </c>
      <c r="AE9">
        <f t="shared" si="12"/>
        <v>2.6205383848454633</v>
      </c>
      <c r="AF9">
        <f>V9/(W9*X9)</f>
        <v>9.0410016510731968</v>
      </c>
      <c r="AG9">
        <v>5</v>
      </c>
      <c r="AI9">
        <f t="shared" si="0"/>
        <v>77.35681703244542</v>
      </c>
      <c r="AJ9">
        <f t="shared" si="13"/>
        <v>66.325941</v>
      </c>
      <c r="AK9">
        <v>6</v>
      </c>
      <c r="AL9" s="1">
        <f t="shared" si="14"/>
        <v>63.27</v>
      </c>
      <c r="AM9" s="2">
        <f>B9*C9+I9*J9+P9*Q9+W9*X9</f>
        <v>55.225999999999999</v>
      </c>
      <c r="AO9">
        <f>D9-B9*C9-AR$2-AS$2*C9-AT$2*C9*C9</f>
        <v>-0.83199999999999941</v>
      </c>
      <c r="AP9">
        <f t="shared" si="15"/>
        <v>1.4918401673553696</v>
      </c>
    </row>
    <row r="10" spans="1:46">
      <c r="A10">
        <v>7</v>
      </c>
      <c r="B10">
        <v>122.9</v>
      </c>
      <c r="C10">
        <v>0.1</v>
      </c>
      <c r="D10">
        <v>20.38</v>
      </c>
      <c r="E10">
        <f t="shared" si="1"/>
        <v>12.579999999999998</v>
      </c>
      <c r="F10">
        <v>142.84</v>
      </c>
      <c r="G10">
        <f t="shared" si="2"/>
        <v>12.290000000000001</v>
      </c>
      <c r="H10" s="9">
        <f t="shared" si="3"/>
        <v>13.187613999999998</v>
      </c>
      <c r="I10">
        <v>143.9</v>
      </c>
      <c r="J10">
        <v>0.09</v>
      </c>
      <c r="K10">
        <f t="shared" si="4"/>
        <v>12.951000000000001</v>
      </c>
      <c r="L10">
        <v>31.62</v>
      </c>
      <c r="M10">
        <f>L10-D10</f>
        <v>11.240000000000002</v>
      </c>
      <c r="N10">
        <v>119.92</v>
      </c>
      <c r="O10" s="9">
        <f t="shared" si="5"/>
        <v>11.782892000000002</v>
      </c>
      <c r="P10">
        <v>183.2</v>
      </c>
      <c r="Q10">
        <v>0.11</v>
      </c>
      <c r="R10">
        <f t="shared" si="6"/>
        <v>20.151999999999997</v>
      </c>
      <c r="S10">
        <f t="shared" si="7"/>
        <v>22.55</v>
      </c>
      <c r="T10">
        <v>54.17</v>
      </c>
      <c r="U10" s="9">
        <f t="shared" si="8"/>
        <v>23.639165000000002</v>
      </c>
      <c r="V10">
        <v>147.88</v>
      </c>
      <c r="W10">
        <v>182.1</v>
      </c>
      <c r="X10">
        <v>0.09</v>
      </c>
      <c r="Y10">
        <f t="shared" si="9"/>
        <v>16.388999999999999</v>
      </c>
      <c r="Z10">
        <f>AA10-T10</f>
        <v>13.959999999999994</v>
      </c>
      <c r="AA10">
        <v>68.13</v>
      </c>
      <c r="AB10" s="9">
        <f t="shared" si="10"/>
        <v>14.634267999999993</v>
      </c>
      <c r="AC10">
        <v>118.75</v>
      </c>
      <c r="AD10">
        <f t="shared" si="11"/>
        <v>16.388999999999999</v>
      </c>
      <c r="AE10">
        <f t="shared" si="12"/>
        <v>2.729924312350009</v>
      </c>
      <c r="AF10">
        <f>V10/(W10*X10)</f>
        <v>9.0231252669473427</v>
      </c>
      <c r="AG10">
        <v>6</v>
      </c>
      <c r="AI10">
        <f t="shared" si="0"/>
        <v>85.484184912528448</v>
      </c>
      <c r="AJ10">
        <f t="shared" si="13"/>
        <v>71.420678999999993</v>
      </c>
      <c r="AK10">
        <v>7</v>
      </c>
      <c r="AL10" s="1">
        <f t="shared" si="14"/>
        <v>68.13</v>
      </c>
      <c r="AM10" s="2">
        <f>B10*C10+I10*J10+P10*Q10+W10*X10</f>
        <v>61.781999999999996</v>
      </c>
      <c r="AO10">
        <f>D10-B10*C10-AR$2-AS$2*C10-AT$2*C10*C10</f>
        <v>-1.5100000000000018</v>
      </c>
      <c r="AP10">
        <f t="shared" si="15"/>
        <v>3.6077548946281048</v>
      </c>
    </row>
    <row r="11" spans="1:46">
      <c r="A11">
        <v>8</v>
      </c>
      <c r="B11">
        <v>123.7</v>
      </c>
      <c r="C11">
        <v>0.11</v>
      </c>
      <c r="D11">
        <v>21.66</v>
      </c>
      <c r="E11">
        <f t="shared" si="1"/>
        <v>13.86</v>
      </c>
      <c r="F11">
        <v>152.94</v>
      </c>
      <c r="G11">
        <f t="shared" si="2"/>
        <v>13.607000000000001</v>
      </c>
      <c r="H11" s="9">
        <f t="shared" si="3"/>
        <v>14.529437999999999</v>
      </c>
      <c r="I11">
        <v>144.30000000000001</v>
      </c>
      <c r="J11">
        <v>0.1</v>
      </c>
      <c r="K11">
        <f t="shared" si="4"/>
        <v>14.430000000000001</v>
      </c>
      <c r="L11">
        <v>34.409999999999997</v>
      </c>
      <c r="M11">
        <f>L11-D11</f>
        <v>12.749999999999996</v>
      </c>
      <c r="N11">
        <v>130.81</v>
      </c>
      <c r="O11" s="9">
        <f t="shared" si="5"/>
        <v>13.365824999999996</v>
      </c>
      <c r="P11">
        <v>184.2</v>
      </c>
      <c r="Q11">
        <v>0.12</v>
      </c>
      <c r="R11">
        <f t="shared" si="6"/>
        <v>22.103999999999999</v>
      </c>
      <c r="S11">
        <f t="shared" si="7"/>
        <v>25.790000000000006</v>
      </c>
      <c r="T11">
        <v>60.2</v>
      </c>
      <c r="U11" s="9">
        <f t="shared" si="8"/>
        <v>27.035657000000008</v>
      </c>
      <c r="V11">
        <v>161.76</v>
      </c>
      <c r="W11">
        <v>183.3</v>
      </c>
      <c r="X11">
        <v>0.1</v>
      </c>
      <c r="Y11">
        <f t="shared" si="9"/>
        <v>18.330000000000002</v>
      </c>
      <c r="Z11">
        <f>AA11-T11</f>
        <v>15.980000000000004</v>
      </c>
      <c r="AA11">
        <v>76.180000000000007</v>
      </c>
      <c r="AB11" s="9">
        <f t="shared" si="10"/>
        <v>16.751834000000006</v>
      </c>
      <c r="AC11">
        <v>129.97</v>
      </c>
      <c r="AD11">
        <f t="shared" si="11"/>
        <v>18.330000000000002</v>
      </c>
      <c r="AE11">
        <f t="shared" si="12"/>
        <v>2.6870431893687705</v>
      </c>
      <c r="AF11">
        <f>V11/(W11*X11)</f>
        <v>8.8248772504091644</v>
      </c>
      <c r="AG11">
        <v>7</v>
      </c>
      <c r="AI11">
        <f t="shared" si="0"/>
        <v>97.933678866564733</v>
      </c>
      <c r="AJ11">
        <f t="shared" si="13"/>
        <v>79.859494000000012</v>
      </c>
      <c r="AK11">
        <v>8</v>
      </c>
      <c r="AL11" s="1">
        <f t="shared" si="14"/>
        <v>76.180000000000007</v>
      </c>
      <c r="AM11" s="2">
        <f>B11*C11+I11*J11+P11*Q11+W11*X11</f>
        <v>68.471000000000004</v>
      </c>
      <c r="AO11">
        <f>D11-B11*C11-AR$2-AS$2*C11-AT$2*C11*C11</f>
        <v>-1.7490000000000008</v>
      </c>
      <c r="AP11">
        <f t="shared" si="15"/>
        <v>4.5727934400826475</v>
      </c>
    </row>
    <row r="12" spans="1:46">
      <c r="A12">
        <v>9</v>
      </c>
      <c r="B12">
        <v>124.5</v>
      </c>
      <c r="C12">
        <v>0.12</v>
      </c>
      <c r="D12">
        <v>22.97</v>
      </c>
      <c r="E12">
        <f t="shared" si="1"/>
        <v>15.169999999999998</v>
      </c>
      <c r="F12">
        <v>167.06</v>
      </c>
      <c r="G12">
        <f t="shared" si="2"/>
        <v>14.94</v>
      </c>
      <c r="H12" s="9">
        <f t="shared" si="3"/>
        <v>15.902710999999998</v>
      </c>
      <c r="I12">
        <v>145.19999999999999</v>
      </c>
      <c r="J12">
        <v>0.11</v>
      </c>
      <c r="K12">
        <f t="shared" si="4"/>
        <v>15.972</v>
      </c>
      <c r="L12">
        <v>37.64</v>
      </c>
      <c r="M12">
        <f>L12-D12</f>
        <v>14.670000000000002</v>
      </c>
      <c r="N12">
        <v>147.15</v>
      </c>
      <c r="O12" s="9">
        <f t="shared" si="5"/>
        <v>15.378561000000001</v>
      </c>
      <c r="P12">
        <v>185.5</v>
      </c>
      <c r="Q12">
        <v>0.13</v>
      </c>
      <c r="R12">
        <f t="shared" si="6"/>
        <v>24.115000000000002</v>
      </c>
      <c r="S12">
        <f t="shared" si="7"/>
        <v>26.439999999999998</v>
      </c>
      <c r="T12">
        <v>64.08</v>
      </c>
      <c r="U12" s="9">
        <f t="shared" si="8"/>
        <v>27.717051999999999</v>
      </c>
      <c r="V12">
        <v>187.47</v>
      </c>
      <c r="W12">
        <v>184.1</v>
      </c>
      <c r="X12">
        <v>0.11</v>
      </c>
      <c r="Y12">
        <f t="shared" si="9"/>
        <v>20.251000000000001</v>
      </c>
      <c r="Z12">
        <f>AA12-T12</f>
        <v>19.950000000000003</v>
      </c>
      <c r="AA12">
        <v>84.03</v>
      </c>
      <c r="AB12" s="9">
        <f t="shared" si="10"/>
        <v>20.913585000000005</v>
      </c>
      <c r="AC12">
        <v>144.01</v>
      </c>
      <c r="AD12">
        <f t="shared" si="11"/>
        <v>20.251000000000001</v>
      </c>
      <c r="AE12">
        <f t="shared" si="12"/>
        <v>2.9255617977528092</v>
      </c>
      <c r="AF12">
        <f>V12/(W12*X12)</f>
        <v>9.2573206261419188</v>
      </c>
      <c r="AG12">
        <v>8</v>
      </c>
      <c r="AI12">
        <f t="shared" si="0"/>
        <v>110.50101431142382</v>
      </c>
      <c r="AJ12">
        <f t="shared" si="13"/>
        <v>88.088649000000004</v>
      </c>
      <c r="AK12">
        <v>9</v>
      </c>
      <c r="AL12" s="1">
        <f t="shared" si="14"/>
        <v>84.03</v>
      </c>
      <c r="AM12" s="2">
        <f>B12*C12+I12*J12+P12*Q12+W12*X12</f>
        <v>75.278000000000006</v>
      </c>
      <c r="AO12">
        <f>D12-B12*C12-AR$2-AS$2*C12-AT$2*C12*C12</f>
        <v>-1.9780000000000004</v>
      </c>
      <c r="AP12">
        <f t="shared" si="15"/>
        <v>5.60462580371901</v>
      </c>
    </row>
    <row r="13" spans="1:46">
      <c r="A13">
        <v>10</v>
      </c>
      <c r="B13">
        <v>124.9</v>
      </c>
      <c r="C13">
        <v>0.12</v>
      </c>
      <c r="D13">
        <v>24.2</v>
      </c>
      <c r="E13">
        <f t="shared" si="1"/>
        <v>16.399999999999999</v>
      </c>
      <c r="F13">
        <v>179.18</v>
      </c>
      <c r="G13">
        <f t="shared" si="2"/>
        <v>14.988</v>
      </c>
      <c r="H13" s="9">
        <f t="shared" si="3"/>
        <v>17.192119999999999</v>
      </c>
      <c r="I13">
        <v>145.6</v>
      </c>
      <c r="J13">
        <v>0.12</v>
      </c>
      <c r="K13">
        <f t="shared" si="4"/>
        <v>17.471999999999998</v>
      </c>
      <c r="L13">
        <v>40.56</v>
      </c>
      <c r="M13">
        <f>L13-D13</f>
        <v>16.360000000000003</v>
      </c>
      <c r="N13">
        <v>158.04</v>
      </c>
      <c r="O13" s="9">
        <f t="shared" si="5"/>
        <v>17.150188000000004</v>
      </c>
      <c r="P13">
        <v>187.3</v>
      </c>
      <c r="Q13">
        <v>0.15</v>
      </c>
      <c r="R13">
        <f t="shared" si="6"/>
        <v>28.095000000000002</v>
      </c>
      <c r="S13">
        <f t="shared" si="7"/>
        <v>30.819999999999993</v>
      </c>
      <c r="T13">
        <v>71.38</v>
      </c>
      <c r="U13" s="9">
        <f t="shared" si="8"/>
        <v>32.30860599999999</v>
      </c>
      <c r="V13">
        <v>200.84</v>
      </c>
      <c r="W13">
        <v>184.9</v>
      </c>
      <c r="X13">
        <v>0.12</v>
      </c>
      <c r="Y13">
        <f t="shared" si="9"/>
        <v>22.187999999999999</v>
      </c>
      <c r="Z13">
        <f>AA13-T13</f>
        <v>22.47</v>
      </c>
      <c r="AA13">
        <v>93.85</v>
      </c>
      <c r="AB13" s="9">
        <f t="shared" si="10"/>
        <v>23.555301</v>
      </c>
      <c r="AC13">
        <v>158.03</v>
      </c>
      <c r="AD13">
        <f t="shared" si="11"/>
        <v>22.187999999999999</v>
      </c>
      <c r="AE13">
        <f t="shared" si="12"/>
        <v>2.8136732978425329</v>
      </c>
      <c r="AF13">
        <f>V13/(W13*X13)</f>
        <v>9.0517396791058236</v>
      </c>
      <c r="AG13">
        <v>9</v>
      </c>
      <c r="AI13">
        <f t="shared" si="0"/>
        <v>126.03874318679776</v>
      </c>
      <c r="AJ13">
        <f t="shared" si="13"/>
        <v>98.382954999999995</v>
      </c>
      <c r="AK13">
        <v>10</v>
      </c>
      <c r="AL13" s="1">
        <f t="shared" si="14"/>
        <v>93.85</v>
      </c>
      <c r="AM13" s="2">
        <f>B13*C13+I13*J13+P13*Q13+W13*X13</f>
        <v>82.742999999999995</v>
      </c>
      <c r="AO13">
        <f>D13-B13*C13-AR$2-AS$2*C13-AT$2*C13*C13</f>
        <v>-0.79600000000000004</v>
      </c>
      <c r="AP13">
        <f t="shared" si="15"/>
        <v>1.4051947128099167</v>
      </c>
    </row>
    <row r="14" spans="1:46">
      <c r="A14">
        <v>11</v>
      </c>
      <c r="B14">
        <v>126</v>
      </c>
      <c r="C14">
        <v>0.14000000000000001</v>
      </c>
      <c r="D14">
        <v>25.49</v>
      </c>
      <c r="E14">
        <f t="shared" si="1"/>
        <v>17.689999999999998</v>
      </c>
      <c r="F14">
        <v>197.36</v>
      </c>
      <c r="G14">
        <f t="shared" si="2"/>
        <v>17.64</v>
      </c>
      <c r="H14" s="9">
        <f t="shared" si="3"/>
        <v>18.544426999999999</v>
      </c>
      <c r="I14">
        <v>148.69999999999999</v>
      </c>
      <c r="J14">
        <v>0.16</v>
      </c>
      <c r="K14">
        <f t="shared" si="4"/>
        <v>23.791999999999998</v>
      </c>
      <c r="L14">
        <v>43.85</v>
      </c>
      <c r="M14">
        <f>L14-D14</f>
        <v>18.360000000000003</v>
      </c>
      <c r="N14">
        <v>168.93</v>
      </c>
      <c r="O14" s="9">
        <f t="shared" si="5"/>
        <v>19.246788000000002</v>
      </c>
      <c r="P14">
        <v>188.2</v>
      </c>
      <c r="Q14">
        <v>0.16</v>
      </c>
      <c r="R14">
        <f t="shared" si="6"/>
        <v>30.111999999999998</v>
      </c>
      <c r="S14">
        <f t="shared" si="7"/>
        <v>35.520000000000003</v>
      </c>
      <c r="T14">
        <v>79.37</v>
      </c>
      <c r="U14" s="9">
        <f t="shared" si="8"/>
        <v>37.235616</v>
      </c>
      <c r="V14">
        <v>225.01</v>
      </c>
      <c r="W14">
        <v>186.4</v>
      </c>
      <c r="X14">
        <v>0.14000000000000001</v>
      </c>
      <c r="Y14">
        <f t="shared" si="9"/>
        <v>26.096000000000004</v>
      </c>
      <c r="Z14">
        <f>AA14-T14</f>
        <v>24.539999999999992</v>
      </c>
      <c r="AA14">
        <v>103.91</v>
      </c>
      <c r="AB14" s="9">
        <f t="shared" si="10"/>
        <v>25.725281999999993</v>
      </c>
      <c r="AC14">
        <v>184.42</v>
      </c>
      <c r="AD14">
        <f t="shared" si="11"/>
        <v>26.096000000000004</v>
      </c>
      <c r="AE14">
        <f t="shared" si="12"/>
        <v>2.8349502330855483</v>
      </c>
      <c r="AF14">
        <f>V14/(W14*X14)</f>
        <v>8.622394236664622</v>
      </c>
      <c r="AG14">
        <v>10</v>
      </c>
      <c r="AI14">
        <f t="shared" si="0"/>
        <v>142.28597802671956</v>
      </c>
      <c r="AJ14">
        <f t="shared" si="13"/>
        <v>108.928853</v>
      </c>
      <c r="AK14">
        <v>11</v>
      </c>
      <c r="AL14" s="1">
        <f t="shared" si="14"/>
        <v>103.91</v>
      </c>
      <c r="AM14" s="2">
        <f>B14*C14+I14*J14+P14*Q14+W14*X14</f>
        <v>97.64</v>
      </c>
      <c r="AO14">
        <f>D14-B14*C14-AR$2-AS$2*C14-AT$2*C14*C14</f>
        <v>-2.5820000000000021</v>
      </c>
      <c r="AP14">
        <f t="shared" si="15"/>
        <v>8.8292719855372006</v>
      </c>
    </row>
    <row r="15" spans="1:46">
      <c r="A15">
        <v>12</v>
      </c>
      <c r="B15">
        <v>127.1</v>
      </c>
      <c r="C15">
        <v>0.15</v>
      </c>
      <c r="D15">
        <v>27.6</v>
      </c>
      <c r="E15">
        <f t="shared" si="1"/>
        <v>19.8</v>
      </c>
      <c r="F15">
        <v>209.47</v>
      </c>
      <c r="G15">
        <f t="shared" si="2"/>
        <v>19.064999999999998</v>
      </c>
      <c r="H15" s="9">
        <f>E15*1.518*EXP(-(AH15-10.5)*(AH15-10.5)*0.003314)</f>
        <v>20.857364862188948</v>
      </c>
      <c r="I15">
        <v>149.6</v>
      </c>
      <c r="J15">
        <v>0.16</v>
      </c>
      <c r="K15">
        <f t="shared" si="4"/>
        <v>23.936</v>
      </c>
      <c r="L15">
        <v>48.79</v>
      </c>
      <c r="M15">
        <f>L15-D15</f>
        <v>21.189999999999998</v>
      </c>
      <c r="N15">
        <v>187.07</v>
      </c>
      <c r="O15" s="9">
        <f>M15*1.518*EXP(-(AH15-10.5)*(AH15-10.5)*0.003314)</f>
        <v>22.321594011605239</v>
      </c>
      <c r="P15">
        <v>189.9</v>
      </c>
      <c r="Q15">
        <v>0.18</v>
      </c>
      <c r="R15">
        <f t="shared" si="6"/>
        <v>34.182000000000002</v>
      </c>
      <c r="S15">
        <f t="shared" si="7"/>
        <v>37.559999999999995</v>
      </c>
      <c r="T15">
        <v>86.35</v>
      </c>
      <c r="U15" s="9">
        <f>S15*1.518*EXP(-(AH15-10.5)*(AH15-10.5)*0.003314)</f>
        <v>39.565789102212975</v>
      </c>
      <c r="V15">
        <v>243.01</v>
      </c>
      <c r="W15">
        <v>187.5</v>
      </c>
      <c r="X15">
        <v>0.16</v>
      </c>
      <c r="Y15">
        <f t="shared" si="9"/>
        <v>30</v>
      </c>
      <c r="Z15">
        <f>AA15-T15</f>
        <v>27.92</v>
      </c>
      <c r="AA15">
        <v>114.27</v>
      </c>
      <c r="AB15" s="9">
        <f>Z15*1.518*EXP(-(AH15-10.5)*(AH15-10.5)*0.003314)</f>
        <v>29.410991260217955</v>
      </c>
      <c r="AC15">
        <v>199.56</v>
      </c>
      <c r="AD15">
        <f t="shared" si="11"/>
        <v>30</v>
      </c>
      <c r="AE15">
        <f t="shared" si="12"/>
        <v>2.814244354371743</v>
      </c>
      <c r="AF15">
        <f>V15/(W15*X15)</f>
        <v>8.1003333333333334</v>
      </c>
      <c r="AG15">
        <v>11</v>
      </c>
      <c r="AH15">
        <v>0</v>
      </c>
      <c r="AI15">
        <f t="shared" si="0"/>
        <v>159.28285936720656</v>
      </c>
      <c r="AJ15">
        <f>AA15*1.518*EXP(-(AH15-10.5)*(AH15-10.5)*0.003314)</f>
        <v>120.37227690920865</v>
      </c>
      <c r="AK15">
        <v>12</v>
      </c>
      <c r="AL15" s="1">
        <f t="shared" si="14"/>
        <v>114.27</v>
      </c>
      <c r="AM15" s="2">
        <f>B15*C15+I15*J15+P15*Q15+W15*X15</f>
        <v>107.18299999999999</v>
      </c>
      <c r="AO15">
        <f>D15-B15*C15-AR$2-AS$2*C15-AT$2*C15*C15</f>
        <v>-2.1149999999999958</v>
      </c>
      <c r="AP15">
        <f t="shared" si="15"/>
        <v>6.2720648946280768</v>
      </c>
    </row>
    <row r="16" spans="1:46">
      <c r="A16">
        <v>13</v>
      </c>
      <c r="B16">
        <v>127.8</v>
      </c>
      <c r="C16">
        <v>0.16</v>
      </c>
      <c r="D16">
        <v>29.97</v>
      </c>
      <c r="E16">
        <f t="shared" si="1"/>
        <v>22.169999999999998</v>
      </c>
      <c r="F16">
        <v>233.7</v>
      </c>
      <c r="G16">
        <f t="shared" si="2"/>
        <v>20.448</v>
      </c>
      <c r="H16" s="9">
        <f t="shared" ref="H16:H36" si="16">E16*1.518*EXP(-(AH16-10.5)*(AH16-10.5)*0.003314)</f>
        <v>24.954276307510241</v>
      </c>
      <c r="I16">
        <v>150.6</v>
      </c>
      <c r="J16">
        <v>0.18</v>
      </c>
      <c r="K16">
        <f t="shared" si="4"/>
        <v>27.107999999999997</v>
      </c>
      <c r="L16">
        <v>53.83</v>
      </c>
      <c r="M16">
        <f>L16-D16</f>
        <v>23.86</v>
      </c>
      <c r="N16">
        <v>207.04</v>
      </c>
      <c r="O16" s="9">
        <f t="shared" ref="O16:O36" si="17">M16*1.518*EXP(-(AH16-10.5)*(AH16-10.5)*0.003314)</f>
        <v>26.856519291709265</v>
      </c>
      <c r="P16">
        <v>191.3</v>
      </c>
      <c r="Q16">
        <v>0.2</v>
      </c>
      <c r="R16">
        <f t="shared" si="6"/>
        <v>38.260000000000005</v>
      </c>
      <c r="S16">
        <f t="shared" si="7"/>
        <v>40.350000000000009</v>
      </c>
      <c r="T16">
        <v>94.18</v>
      </c>
      <c r="U16" s="9">
        <f t="shared" ref="U16:U36" si="18">S16*1.518*EXP(-(AH16-10.5)*(AH16-10.5)*0.003314)</f>
        <v>45.41745823220743</v>
      </c>
      <c r="V16">
        <v>258.95</v>
      </c>
      <c r="W16">
        <v>188.5</v>
      </c>
      <c r="X16">
        <v>0.17</v>
      </c>
      <c r="Y16">
        <f t="shared" si="9"/>
        <v>32.045000000000002</v>
      </c>
      <c r="Z16">
        <f>AA16-T16</f>
        <v>32.72999999999999</v>
      </c>
      <c r="AA16">
        <v>126.91</v>
      </c>
      <c r="AB16" s="9">
        <f t="shared" ref="AB16:AB36" si="19">Z16*1.518*EXP(-(AH16-10.5)*(AH16-10.5)*0.003314)</f>
        <v>36.840480989842582</v>
      </c>
      <c r="AC16">
        <v>215.84</v>
      </c>
      <c r="AD16">
        <f t="shared" si="11"/>
        <v>32.045000000000002</v>
      </c>
      <c r="AE16">
        <f t="shared" si="12"/>
        <v>2.749522191548099</v>
      </c>
      <c r="AF16">
        <f>V16/(W16*X16)</f>
        <v>8.0808238414729274</v>
      </c>
      <c r="AG16">
        <v>12</v>
      </c>
      <c r="AH16">
        <v>1</v>
      </c>
      <c r="AI16">
        <f t="shared" si="0"/>
        <v>179.78845614060776</v>
      </c>
      <c r="AJ16">
        <f t="shared" ref="AJ16:AJ36" si="20">AA16*1.518*EXP(-(AH16-10.5)*(AH16-10.5)*0.003314)</f>
        <v>142.84831782526501</v>
      </c>
      <c r="AK16">
        <v>13</v>
      </c>
      <c r="AL16" s="1">
        <f t="shared" si="14"/>
        <v>126.91</v>
      </c>
      <c r="AM16" s="2">
        <f>B16*C16+I16*J16+P16*Q16+W16*X16</f>
        <v>117.861</v>
      </c>
      <c r="AO16">
        <f>D16-B16*C16-AR$2-AS$2*C16-AT$2*C16*C16</f>
        <v>-1.3500000000000014</v>
      </c>
      <c r="AP16">
        <f t="shared" si="15"/>
        <v>3.0255439855371939</v>
      </c>
    </row>
    <row r="17" spans="1:42">
      <c r="A17">
        <v>14</v>
      </c>
      <c r="B17">
        <v>128.5</v>
      </c>
      <c r="C17">
        <v>0.17</v>
      </c>
      <c r="D17">
        <v>31.98</v>
      </c>
      <c r="E17">
        <f t="shared" si="1"/>
        <v>24.18</v>
      </c>
      <c r="F17">
        <v>257.24</v>
      </c>
      <c r="G17">
        <f t="shared" si="2"/>
        <v>21.845000000000002</v>
      </c>
      <c r="H17" s="9">
        <f t="shared" si="16"/>
        <v>28.889639156964801</v>
      </c>
      <c r="I17">
        <v>151.6</v>
      </c>
      <c r="J17">
        <v>0.19</v>
      </c>
      <c r="K17">
        <f t="shared" si="4"/>
        <v>28.803999999999998</v>
      </c>
      <c r="L17">
        <v>59.05</v>
      </c>
      <c r="M17">
        <f>L17-D17</f>
        <v>27.069999999999997</v>
      </c>
      <c r="N17">
        <v>217.93</v>
      </c>
      <c r="O17" s="9">
        <f t="shared" si="17"/>
        <v>32.342536475559847</v>
      </c>
      <c r="P17">
        <v>193</v>
      </c>
      <c r="Q17">
        <v>0.22</v>
      </c>
      <c r="R17">
        <f t="shared" si="6"/>
        <v>42.46</v>
      </c>
      <c r="S17">
        <f t="shared" si="7"/>
        <v>44.42</v>
      </c>
      <c r="T17">
        <v>103.47</v>
      </c>
      <c r="U17" s="9">
        <f t="shared" si="18"/>
        <v>53.071868128716979</v>
      </c>
      <c r="V17">
        <v>272.83999999999997</v>
      </c>
      <c r="W17">
        <v>189.5</v>
      </c>
      <c r="X17">
        <v>0.19</v>
      </c>
      <c r="Y17">
        <f t="shared" si="9"/>
        <v>36.005000000000003</v>
      </c>
      <c r="Z17">
        <f>AA17-T17</f>
        <v>36.800000000000011</v>
      </c>
      <c r="AA17">
        <v>140.27000000000001</v>
      </c>
      <c r="AB17" s="9">
        <f t="shared" si="19"/>
        <v>43.96768903954942</v>
      </c>
      <c r="AC17">
        <v>239.97</v>
      </c>
      <c r="AD17">
        <f t="shared" si="11"/>
        <v>36.005000000000003</v>
      </c>
      <c r="AE17">
        <f t="shared" si="12"/>
        <v>2.6368995844206049</v>
      </c>
      <c r="AF17">
        <f>V17/(W17*X17)</f>
        <v>7.5778364116094972</v>
      </c>
      <c r="AG17">
        <v>13</v>
      </c>
      <c r="AH17">
        <v>2</v>
      </c>
      <c r="AI17">
        <f t="shared" si="0"/>
        <v>201.63085175669323</v>
      </c>
      <c r="AJ17">
        <f t="shared" si="20"/>
        <v>167.59097123852163</v>
      </c>
      <c r="AK17">
        <v>14</v>
      </c>
      <c r="AL17" s="1">
        <f t="shared" si="14"/>
        <v>140.27000000000001</v>
      </c>
      <c r="AM17" s="2">
        <f>B17*C17+I17*J17+P17*Q17+W17*X17</f>
        <v>129.114</v>
      </c>
      <c r="AO17">
        <f>D17-B17*C17-AR$2-AS$2*C17-AT$2*C17*C17</f>
        <v>-0.96300000000000208</v>
      </c>
      <c r="AP17">
        <f t="shared" si="15"/>
        <v>1.8290103491735585</v>
      </c>
    </row>
    <row r="18" spans="1:42">
      <c r="A18">
        <v>15</v>
      </c>
      <c r="B18">
        <v>129.5</v>
      </c>
      <c r="C18">
        <v>0.19</v>
      </c>
      <c r="D18">
        <v>34.380000000000003</v>
      </c>
      <c r="E18">
        <f t="shared" si="1"/>
        <v>26.580000000000002</v>
      </c>
      <c r="F18">
        <v>263.98</v>
      </c>
      <c r="G18">
        <f t="shared" si="2"/>
        <v>24.605</v>
      </c>
      <c r="H18" s="9">
        <f t="shared" si="16"/>
        <v>33.48642832967252</v>
      </c>
      <c r="I18">
        <v>152.30000000000001</v>
      </c>
      <c r="J18">
        <v>0.2</v>
      </c>
      <c r="K18">
        <f t="shared" si="4"/>
        <v>30.460000000000004</v>
      </c>
      <c r="L18">
        <v>64.41</v>
      </c>
      <c r="M18">
        <f>L18-D18</f>
        <v>30.029999999999994</v>
      </c>
      <c r="N18">
        <v>245.16</v>
      </c>
      <c r="O18" s="9">
        <f t="shared" si="17"/>
        <v>37.83286090067967</v>
      </c>
      <c r="P18">
        <v>194.2</v>
      </c>
      <c r="Q18">
        <v>0.24</v>
      </c>
      <c r="R18">
        <f t="shared" si="6"/>
        <v>46.607999999999997</v>
      </c>
      <c r="S18">
        <f t="shared" si="7"/>
        <v>47.42</v>
      </c>
      <c r="T18">
        <v>111.83</v>
      </c>
      <c r="U18" s="9">
        <f t="shared" si="18"/>
        <v>59.741400729611385</v>
      </c>
      <c r="V18">
        <v>294.95</v>
      </c>
      <c r="W18">
        <v>191.2</v>
      </c>
      <c r="X18">
        <v>0.21</v>
      </c>
      <c r="Y18">
        <f t="shared" si="9"/>
        <v>40.151999999999994</v>
      </c>
      <c r="Z18">
        <f>AA18-T18</f>
        <v>40.190000000000012</v>
      </c>
      <c r="AA18">
        <v>152.02000000000001</v>
      </c>
      <c r="AB18" s="9">
        <f t="shared" si="19"/>
        <v>50.632789863413805</v>
      </c>
      <c r="AC18">
        <v>257.37</v>
      </c>
      <c r="AD18">
        <f t="shared" si="11"/>
        <v>40.151999999999994</v>
      </c>
      <c r="AE18">
        <f t="shared" si="12"/>
        <v>2.6374854690154699</v>
      </c>
      <c r="AF18">
        <f>V18/(W18*X18)</f>
        <v>7.3458358238692973</v>
      </c>
      <c r="AG18">
        <v>14</v>
      </c>
      <c r="AH18">
        <v>3</v>
      </c>
      <c r="AI18">
        <f t="shared" si="0"/>
        <v>221.36870801406192</v>
      </c>
      <c r="AJ18">
        <f t="shared" si="20"/>
        <v>191.52019694043705</v>
      </c>
      <c r="AK18">
        <v>15</v>
      </c>
      <c r="AL18" s="1">
        <f t="shared" si="14"/>
        <v>152.02000000000001</v>
      </c>
      <c r="AM18" s="2">
        <f>B18*C18+I18*J18+P18*Q18+W18*X18</f>
        <v>141.82499999999999</v>
      </c>
      <c r="AO18">
        <f>D18-B18*C18-AR$2-AS$2*C18-AT$2*C18*C18</f>
        <v>-1.7869999999999977</v>
      </c>
      <c r="AP18">
        <f t="shared" si="15"/>
        <v>4.7367565309917241</v>
      </c>
    </row>
    <row r="19" spans="1:42">
      <c r="A19">
        <v>16</v>
      </c>
      <c r="B19">
        <v>130.6</v>
      </c>
      <c r="C19">
        <v>0.2</v>
      </c>
      <c r="D19">
        <v>36.78</v>
      </c>
      <c r="E19">
        <f t="shared" si="1"/>
        <v>28.98</v>
      </c>
      <c r="F19">
        <v>282.14999999999998</v>
      </c>
      <c r="G19">
        <f t="shared" si="2"/>
        <v>26.12</v>
      </c>
      <c r="H19" s="9">
        <f t="shared" si="16"/>
        <v>38.243863493745899</v>
      </c>
      <c r="I19">
        <v>153.69999999999999</v>
      </c>
      <c r="J19">
        <v>0.22</v>
      </c>
      <c r="K19">
        <f t="shared" si="4"/>
        <v>33.814</v>
      </c>
      <c r="L19">
        <v>69.13</v>
      </c>
      <c r="M19">
        <f>L19-D19</f>
        <v>32.349999999999994</v>
      </c>
      <c r="N19">
        <v>266.94</v>
      </c>
      <c r="O19" s="9">
        <f t="shared" si="17"/>
        <v>42.691131263722554</v>
      </c>
      <c r="P19">
        <v>195.5</v>
      </c>
      <c r="Q19">
        <v>0.25</v>
      </c>
      <c r="R19">
        <f t="shared" si="6"/>
        <v>48.875</v>
      </c>
      <c r="S19">
        <f t="shared" si="7"/>
        <v>51.820000000000007</v>
      </c>
      <c r="T19">
        <v>120.95</v>
      </c>
      <c r="U19" s="9">
        <f t="shared" si="18"/>
        <v>68.384989863558062</v>
      </c>
      <c r="V19">
        <v>301.62</v>
      </c>
      <c r="W19">
        <v>192</v>
      </c>
      <c r="X19">
        <v>0.23</v>
      </c>
      <c r="Y19">
        <f t="shared" si="9"/>
        <v>44.160000000000004</v>
      </c>
      <c r="Z19">
        <f>AA19-T19</f>
        <v>42.92</v>
      </c>
      <c r="AA19">
        <v>163.87</v>
      </c>
      <c r="AB19" s="9">
        <f t="shared" si="19"/>
        <v>56.639980025934236</v>
      </c>
      <c r="AC19">
        <v>280.38</v>
      </c>
      <c r="AD19">
        <f t="shared" si="11"/>
        <v>44.160000000000004</v>
      </c>
      <c r="AE19">
        <f t="shared" si="12"/>
        <v>2.4937577511368332</v>
      </c>
      <c r="AF19">
        <f>V19/(W19*X19)</f>
        <v>6.8301630434782608</v>
      </c>
      <c r="AG19">
        <v>15</v>
      </c>
      <c r="AH19">
        <v>4</v>
      </c>
      <c r="AI19">
        <f t="shared" si="0"/>
        <v>241.34336072564849</v>
      </c>
      <c r="AJ19">
        <f t="shared" si="20"/>
        <v>216.25334405521534</v>
      </c>
      <c r="AK19">
        <v>16</v>
      </c>
      <c r="AL19" s="1">
        <f t="shared" si="14"/>
        <v>163.87</v>
      </c>
      <c r="AM19" s="2">
        <f>B19*C19+I19*J19+P19*Q19+W19*X19</f>
        <v>152.96899999999999</v>
      </c>
      <c r="AO19">
        <f>D19-B19*C19-AR$2-AS$2*C19-AT$2*C19*C19</f>
        <v>-1.1399999999999999</v>
      </c>
      <c r="AP19">
        <f t="shared" si="15"/>
        <v>2.3390921673553708</v>
      </c>
    </row>
    <row r="20" spans="1:42">
      <c r="A20">
        <v>17</v>
      </c>
      <c r="B20">
        <v>131</v>
      </c>
      <c r="C20">
        <v>0.22</v>
      </c>
      <c r="D20">
        <v>38.94</v>
      </c>
      <c r="E20">
        <f t="shared" si="1"/>
        <v>31.139999999999997</v>
      </c>
      <c r="F20">
        <v>304.36</v>
      </c>
      <c r="G20">
        <f t="shared" si="2"/>
        <v>28.82</v>
      </c>
      <c r="H20" s="9">
        <f t="shared" si="16"/>
        <v>42.761507710931994</v>
      </c>
      <c r="I20">
        <v>155.1</v>
      </c>
      <c r="J20">
        <v>0.24</v>
      </c>
      <c r="K20">
        <f t="shared" si="4"/>
        <v>37.223999999999997</v>
      </c>
      <c r="L20">
        <v>73.88</v>
      </c>
      <c r="M20">
        <f>L20-D20</f>
        <v>34.94</v>
      </c>
      <c r="N20">
        <v>284.48</v>
      </c>
      <c r="O20" s="9">
        <f t="shared" si="17"/>
        <v>47.979674997429797</v>
      </c>
      <c r="P20">
        <v>196.6</v>
      </c>
      <c r="Q20">
        <v>0.26</v>
      </c>
      <c r="R20">
        <f t="shared" si="6"/>
        <v>51.116</v>
      </c>
      <c r="S20">
        <f t="shared" si="7"/>
        <v>54.41</v>
      </c>
      <c r="T20">
        <v>128.29</v>
      </c>
      <c r="U20" s="9">
        <f t="shared" si="18"/>
        <v>74.715916331143532</v>
      </c>
      <c r="V20">
        <v>319.11</v>
      </c>
      <c r="W20">
        <v>193.2</v>
      </c>
      <c r="X20">
        <v>0.24</v>
      </c>
      <c r="Y20">
        <f t="shared" si="9"/>
        <v>46.367999999999995</v>
      </c>
      <c r="Z20">
        <f>AA20-T20</f>
        <v>49.550000000000011</v>
      </c>
      <c r="AA20">
        <v>177.84</v>
      </c>
      <c r="AB20" s="9">
        <f t="shared" si="19"/>
        <v>68.042155012096373</v>
      </c>
      <c r="AC20">
        <v>290.49</v>
      </c>
      <c r="AD20">
        <f t="shared" si="11"/>
        <v>46.367999999999995</v>
      </c>
      <c r="AE20">
        <f t="shared" si="12"/>
        <v>2.4874113336970929</v>
      </c>
      <c r="AF20">
        <f>V20/(W20*X20)</f>
        <v>6.8821169772256736</v>
      </c>
      <c r="AG20">
        <v>16</v>
      </c>
      <c r="AH20">
        <v>5</v>
      </c>
      <c r="AI20">
        <f t="shared" si="0"/>
        <v>264.47391117124408</v>
      </c>
      <c r="AJ20">
        <f t="shared" si="20"/>
        <v>244.21022900809717</v>
      </c>
      <c r="AK20">
        <v>17</v>
      </c>
      <c r="AL20" s="1">
        <f t="shared" si="14"/>
        <v>177.84</v>
      </c>
      <c r="AM20" s="2">
        <f>B20*C20+I20*J20+P20*Q20+W20*X20</f>
        <v>163.52799999999999</v>
      </c>
      <c r="AO20">
        <f>D20-B20*C20-AR$2-AS$2*C20-AT$2*C20*C20</f>
        <v>-2.1680000000000024</v>
      </c>
      <c r="AP20">
        <f t="shared" si="15"/>
        <v>6.5403412582644735</v>
      </c>
    </row>
    <row r="21" spans="1:42">
      <c r="A21">
        <v>18</v>
      </c>
      <c r="B21">
        <v>132</v>
      </c>
      <c r="C21">
        <v>0.22</v>
      </c>
      <c r="D21">
        <v>40.32</v>
      </c>
      <c r="E21">
        <f t="shared" si="1"/>
        <v>32.520000000000003</v>
      </c>
      <c r="F21">
        <v>318.49</v>
      </c>
      <c r="G21">
        <f t="shared" si="2"/>
        <v>29.04</v>
      </c>
      <c r="H21" s="9">
        <f t="shared" si="16"/>
        <v>46.161239018108347</v>
      </c>
      <c r="I21">
        <v>155.4</v>
      </c>
      <c r="J21">
        <v>0.25</v>
      </c>
      <c r="K21">
        <f t="shared" si="4"/>
        <v>38.85</v>
      </c>
      <c r="L21">
        <v>78.150000000000006</v>
      </c>
      <c r="M21">
        <f>L21-D21</f>
        <v>37.830000000000005</v>
      </c>
      <c r="N21">
        <v>299.61</v>
      </c>
      <c r="O21" s="9">
        <f t="shared" si="17"/>
        <v>53.698636902061466</v>
      </c>
      <c r="P21">
        <v>197.7</v>
      </c>
      <c r="Q21">
        <v>0.28000000000000003</v>
      </c>
      <c r="R21">
        <f t="shared" si="6"/>
        <v>55.356000000000002</v>
      </c>
      <c r="S21">
        <f t="shared" si="7"/>
        <v>57.329999999999984</v>
      </c>
      <c r="T21">
        <v>135.47999999999999</v>
      </c>
      <c r="U21" s="9">
        <f t="shared" si="18"/>
        <v>81.378346645392085</v>
      </c>
      <c r="V21">
        <v>324.25</v>
      </c>
      <c r="W21">
        <v>194.1</v>
      </c>
      <c r="X21">
        <v>0.26</v>
      </c>
      <c r="Y21">
        <f t="shared" si="9"/>
        <v>50.466000000000001</v>
      </c>
      <c r="Z21">
        <f>AA21-T21</f>
        <v>53.900000000000006</v>
      </c>
      <c r="AA21">
        <v>189.38</v>
      </c>
      <c r="AB21" s="9">
        <f t="shared" si="19"/>
        <v>76.509556675154982</v>
      </c>
      <c r="AC21">
        <v>307.32</v>
      </c>
      <c r="AD21">
        <f t="shared" si="11"/>
        <v>50.466000000000001</v>
      </c>
      <c r="AE21">
        <f t="shared" si="12"/>
        <v>2.3933421907292591</v>
      </c>
      <c r="AF21">
        <f>V21/(W21*X21)</f>
        <v>6.4251179011611779</v>
      </c>
      <c r="AG21">
        <v>17</v>
      </c>
      <c r="AH21">
        <v>6</v>
      </c>
      <c r="AI21">
        <f t="shared" si="0"/>
        <v>283.92397845164055</v>
      </c>
      <c r="AJ21">
        <f t="shared" si="20"/>
        <v>268.81966313804912</v>
      </c>
      <c r="AK21">
        <v>18</v>
      </c>
      <c r="AL21" s="1">
        <f t="shared" si="14"/>
        <v>189.38</v>
      </c>
      <c r="AM21" s="2">
        <f>B21*C21+I21*J21+P21*Q21+W21*X21</f>
        <v>173.71200000000002</v>
      </c>
      <c r="AO21">
        <f>D21-B21*C21-AR$2-AS$2*C21-AT$2*C21*C21</f>
        <v>-1.0079999999999987</v>
      </c>
      <c r="AP21">
        <f t="shared" si="15"/>
        <v>1.9527521673553674</v>
      </c>
    </row>
    <row r="22" spans="1:42">
      <c r="A22">
        <v>19</v>
      </c>
      <c r="B22">
        <v>132.5</v>
      </c>
      <c r="C22">
        <v>0.23</v>
      </c>
      <c r="D22">
        <v>41.78</v>
      </c>
      <c r="E22">
        <f t="shared" si="1"/>
        <v>33.980000000000004</v>
      </c>
      <c r="F22">
        <v>324.55</v>
      </c>
      <c r="G22">
        <f t="shared" si="2"/>
        <v>30.475000000000001</v>
      </c>
      <c r="H22" s="9">
        <f t="shared" si="16"/>
        <v>49.529541781123449</v>
      </c>
      <c r="I22">
        <v>156</v>
      </c>
      <c r="J22">
        <v>0.26</v>
      </c>
      <c r="K22">
        <f t="shared" si="4"/>
        <v>40.56</v>
      </c>
      <c r="L22">
        <v>81.55</v>
      </c>
      <c r="M22">
        <f>L22-D22</f>
        <v>39.769999999999996</v>
      </c>
      <c r="N22">
        <v>310.5</v>
      </c>
      <c r="O22" s="9">
        <f t="shared" si="17"/>
        <v>57.969095839766894</v>
      </c>
      <c r="P22">
        <v>198.5</v>
      </c>
      <c r="Q22">
        <v>0.28999999999999998</v>
      </c>
      <c r="R22">
        <f t="shared" si="6"/>
        <v>57.564999999999998</v>
      </c>
      <c r="S22">
        <f t="shared" si="7"/>
        <v>59.459999999999994</v>
      </c>
      <c r="T22">
        <v>141.01</v>
      </c>
      <c r="U22" s="9">
        <f t="shared" si="18"/>
        <v>86.669410073737481</v>
      </c>
      <c r="V22">
        <v>337.63</v>
      </c>
      <c r="W22">
        <v>194.6</v>
      </c>
      <c r="X22">
        <v>0.27</v>
      </c>
      <c r="Y22">
        <f t="shared" si="9"/>
        <v>52.542000000000002</v>
      </c>
      <c r="Z22">
        <f>AA22-T22</f>
        <v>57.070000000000022</v>
      </c>
      <c r="AA22">
        <v>198.08</v>
      </c>
      <c r="AB22" s="9">
        <f t="shared" si="19"/>
        <v>83.185725410497824</v>
      </c>
      <c r="AC22">
        <v>325.83999999999997</v>
      </c>
      <c r="AD22">
        <f t="shared" si="11"/>
        <v>52.542000000000002</v>
      </c>
      <c r="AE22">
        <f t="shared" si="12"/>
        <v>2.3943691936742075</v>
      </c>
      <c r="AF22">
        <f>V22/(W22*X22)</f>
        <v>6.4259068935327921</v>
      </c>
      <c r="AG22">
        <v>18</v>
      </c>
      <c r="AH22">
        <v>7</v>
      </c>
      <c r="AI22">
        <f t="shared" si="0"/>
        <v>298.89609713000118</v>
      </c>
      <c r="AJ22">
        <f t="shared" si="20"/>
        <v>288.72312054164018</v>
      </c>
      <c r="AK22">
        <v>19</v>
      </c>
      <c r="AL22" s="1">
        <f t="shared" si="14"/>
        <v>198.08</v>
      </c>
      <c r="AM22" s="2">
        <f>B22*C22+I22*J22+P22*Q22+W22*X22</f>
        <v>181.142</v>
      </c>
      <c r="AO22">
        <f>D22-B22*C22-AR$2-AS$2*C22-AT$2*C22*C22</f>
        <v>-1.2330000000000005</v>
      </c>
      <c r="AP22">
        <f t="shared" si="15"/>
        <v>2.6322112582644634</v>
      </c>
    </row>
    <row r="23" spans="1:42">
      <c r="B23">
        <v>133.1</v>
      </c>
      <c r="C23">
        <v>0.24</v>
      </c>
      <c r="D23">
        <v>43.19</v>
      </c>
      <c r="E23">
        <f t="shared" si="1"/>
        <v>35.39</v>
      </c>
      <c r="F23">
        <v>336.67</v>
      </c>
      <c r="G23">
        <f t="shared" si="2"/>
        <v>31.943999999999999</v>
      </c>
      <c r="H23" s="9">
        <f t="shared" si="16"/>
        <v>52.620747089259545</v>
      </c>
      <c r="I23">
        <v>156.4</v>
      </c>
      <c r="J23">
        <v>0.26</v>
      </c>
      <c r="K23">
        <f t="shared" si="4"/>
        <v>40.664000000000001</v>
      </c>
      <c r="L23">
        <v>84.64</v>
      </c>
      <c r="M23">
        <f>L23-D23</f>
        <v>41.45</v>
      </c>
      <c r="N23">
        <v>321.38</v>
      </c>
      <c r="O23" s="9">
        <f t="shared" si="17"/>
        <v>61.631250829324898</v>
      </c>
      <c r="P23">
        <v>199.3</v>
      </c>
      <c r="Q23">
        <v>0.3</v>
      </c>
      <c r="R23">
        <f t="shared" si="6"/>
        <v>59.79</v>
      </c>
      <c r="S23">
        <f t="shared" si="7"/>
        <v>62.17</v>
      </c>
      <c r="T23">
        <v>146.81</v>
      </c>
      <c r="U23" s="9">
        <f t="shared" si="18"/>
        <v>92.439441834960888</v>
      </c>
      <c r="V23">
        <v>337.63</v>
      </c>
      <c r="W23">
        <v>195.4</v>
      </c>
      <c r="X23">
        <v>0.28000000000000003</v>
      </c>
      <c r="Y23">
        <f t="shared" si="9"/>
        <v>54.712000000000003</v>
      </c>
      <c r="Z23">
        <f>AA23-T23</f>
        <v>60.47999999999999</v>
      </c>
      <c r="AA23">
        <v>207.29</v>
      </c>
      <c r="AB23" s="9">
        <f t="shared" si="19"/>
        <v>89.926611584018559</v>
      </c>
      <c r="AC23">
        <v>335.95</v>
      </c>
      <c r="AD23">
        <f t="shared" si="11"/>
        <v>54.712000000000003</v>
      </c>
      <c r="AE23">
        <f t="shared" si="12"/>
        <v>2.2997752196716843</v>
      </c>
      <c r="AF23">
        <f>V23/(W23*X23)</f>
        <v>6.1710410878783444</v>
      </c>
      <c r="AG23">
        <v>5</v>
      </c>
      <c r="AH23">
        <v>8</v>
      </c>
      <c r="AI23">
        <f t="shared" si="0"/>
        <v>253.4423044516455</v>
      </c>
      <c r="AJ23">
        <f t="shared" si="20"/>
        <v>308.21572941883613</v>
      </c>
      <c r="AK23">
        <v>20</v>
      </c>
      <c r="AL23" s="1">
        <f t="shared" si="14"/>
        <v>207.29</v>
      </c>
      <c r="AM23" s="2">
        <f>B23*C23+I23*J23+P23*Q23+W23*X23</f>
        <v>187.11</v>
      </c>
      <c r="AO23">
        <f>D23-B23*C23-AR$2-AS$2*C23-AT$2*C23*C23</f>
        <v>-1.5460000000000009</v>
      </c>
      <c r="AP23">
        <f t="shared" si="15"/>
        <v>3.7458083491735561</v>
      </c>
    </row>
    <row r="24" spans="1:42">
      <c r="A24">
        <v>21</v>
      </c>
      <c r="B24">
        <v>133.19999999999999</v>
      </c>
      <c r="C24">
        <v>0.24</v>
      </c>
      <c r="D24">
        <v>44.28</v>
      </c>
      <c r="E24">
        <f t="shared" si="1"/>
        <v>36.480000000000004</v>
      </c>
      <c r="F24">
        <v>336.67</v>
      </c>
      <c r="G24">
        <f t="shared" si="2"/>
        <v>31.967999999999996</v>
      </c>
      <c r="H24" s="9">
        <f t="shared" si="16"/>
        <v>54.965259718414202</v>
      </c>
      <c r="I24">
        <v>156.69999999999999</v>
      </c>
      <c r="J24">
        <v>0.26</v>
      </c>
      <c r="K24">
        <f t="shared" si="4"/>
        <v>40.741999999999997</v>
      </c>
      <c r="L24">
        <v>87.01</v>
      </c>
      <c r="M24">
        <f>L24-D24</f>
        <v>42.730000000000004</v>
      </c>
      <c r="N24">
        <v>332.28</v>
      </c>
      <c r="O24" s="9">
        <f t="shared" si="17"/>
        <v>64.382279269951724</v>
      </c>
      <c r="P24">
        <v>199.3</v>
      </c>
      <c r="Q24">
        <v>0.3</v>
      </c>
      <c r="R24">
        <f t="shared" si="6"/>
        <v>59.79</v>
      </c>
      <c r="S24">
        <f t="shared" si="7"/>
        <v>63.239999999999995</v>
      </c>
      <c r="T24">
        <v>150.25</v>
      </c>
      <c r="U24" s="9">
        <f t="shared" si="18"/>
        <v>95.285170630277236</v>
      </c>
      <c r="V24">
        <v>342.26</v>
      </c>
      <c r="W24">
        <v>195.7</v>
      </c>
      <c r="X24">
        <v>0.28000000000000003</v>
      </c>
      <c r="Y24">
        <f t="shared" si="9"/>
        <v>54.795999999999999</v>
      </c>
      <c r="Z24">
        <f>AA24-T24</f>
        <v>59.650000000000006</v>
      </c>
      <c r="AA24">
        <v>209.9</v>
      </c>
      <c r="AB24" s="9">
        <f t="shared" si="19"/>
        <v>89.876034599874103</v>
      </c>
      <c r="AC24">
        <v>335.95</v>
      </c>
      <c r="AD24">
        <f t="shared" si="11"/>
        <v>54.795999999999999</v>
      </c>
      <c r="AE24">
        <f t="shared" si="12"/>
        <v>2.2779367720465888</v>
      </c>
      <c r="AF24">
        <f>V24/(W24*X24)</f>
        <v>6.2460763559383894</v>
      </c>
      <c r="AG24">
        <v>20</v>
      </c>
      <c r="AH24">
        <v>9</v>
      </c>
      <c r="AI24">
        <f t="shared" si="0"/>
        <v>319.30566742423503</v>
      </c>
      <c r="AJ24">
        <f t="shared" si="20"/>
        <v>316.26118461883607</v>
      </c>
      <c r="AK24">
        <v>21</v>
      </c>
      <c r="AL24" s="1">
        <f t="shared" si="14"/>
        <v>209.9</v>
      </c>
      <c r="AM24" s="2">
        <f>B24*C24+I24*J24+P24*Q24+W24*X24</f>
        <v>187.29599999999999</v>
      </c>
      <c r="AO24">
        <f>D24-B24*C24-AR$2-AS$2*C24-AT$2*C24*C24</f>
        <v>-0.47999999999999488</v>
      </c>
      <c r="AP24">
        <f t="shared" si="15"/>
        <v>0.75587216735536245</v>
      </c>
    </row>
    <row r="25" spans="1:42">
      <c r="A25">
        <v>22</v>
      </c>
      <c r="B25">
        <v>133.4</v>
      </c>
      <c r="C25">
        <v>0.25</v>
      </c>
      <c r="D25">
        <v>44.61</v>
      </c>
      <c r="E25">
        <f t="shared" si="1"/>
        <v>36.81</v>
      </c>
      <c r="F25">
        <v>342.72</v>
      </c>
      <c r="G25">
        <f t="shared" si="2"/>
        <v>33.35</v>
      </c>
      <c r="H25" s="9">
        <f t="shared" si="16"/>
        <v>55.83130459720261</v>
      </c>
      <c r="I25">
        <v>157</v>
      </c>
      <c r="J25">
        <v>0.27</v>
      </c>
      <c r="K25">
        <f t="shared" si="4"/>
        <v>42.39</v>
      </c>
      <c r="L25">
        <v>88.24</v>
      </c>
      <c r="M25">
        <f>L25-D25</f>
        <v>43.629999999999995</v>
      </c>
      <c r="N25">
        <v>337.72</v>
      </c>
      <c r="O25" s="9">
        <f t="shared" si="17"/>
        <v>66.175490887692192</v>
      </c>
      <c r="P25">
        <v>199.6</v>
      </c>
      <c r="Q25">
        <v>0.3</v>
      </c>
      <c r="R25">
        <f t="shared" si="6"/>
        <v>59.879999999999995</v>
      </c>
      <c r="S25">
        <f t="shared" si="7"/>
        <v>62.940000000000012</v>
      </c>
      <c r="T25">
        <v>151.18</v>
      </c>
      <c r="U25" s="9">
        <f t="shared" si="18"/>
        <v>95.463795472641479</v>
      </c>
      <c r="V25">
        <v>337.63</v>
      </c>
      <c r="W25">
        <v>196.1</v>
      </c>
      <c r="X25">
        <v>0.28999999999999998</v>
      </c>
      <c r="Y25">
        <f t="shared" si="9"/>
        <v>56.868999999999993</v>
      </c>
      <c r="Z25">
        <f>AA25-T25</f>
        <v>61.72</v>
      </c>
      <c r="AA25">
        <v>212.9</v>
      </c>
      <c r="AB25" s="9">
        <f t="shared" si="19"/>
        <v>93.613369186072944</v>
      </c>
      <c r="AC25">
        <v>341</v>
      </c>
      <c r="AD25">
        <f t="shared" si="11"/>
        <v>56.868999999999993</v>
      </c>
      <c r="AE25">
        <f t="shared" si="12"/>
        <v>2.2332980552983197</v>
      </c>
      <c r="AF25">
        <f>V25/(W25*X25)</f>
        <v>5.9369779669064</v>
      </c>
      <c r="AG25">
        <v>21</v>
      </c>
      <c r="AH25">
        <v>10</v>
      </c>
      <c r="AI25">
        <f t="shared" si="0"/>
        <v>324.39396359586442</v>
      </c>
      <c r="AJ25">
        <f t="shared" si="20"/>
        <v>322.91455443478503</v>
      </c>
      <c r="AK25">
        <v>22</v>
      </c>
      <c r="AL25" s="1">
        <f t="shared" si="14"/>
        <v>212.9</v>
      </c>
      <c r="AM25" s="2">
        <f>B25*C25+I25*J25+P25*Q25+W25*X25</f>
        <v>192.489</v>
      </c>
      <c r="AO25">
        <f>D25-B25*C25-AR$2-AS$2*C25-AT$2*C25*C25</f>
        <v>-1.7900000000000018</v>
      </c>
      <c r="AP25">
        <f t="shared" si="15"/>
        <v>4.7498239855371969</v>
      </c>
    </row>
    <row r="26" spans="1:42">
      <c r="A26">
        <v>23</v>
      </c>
      <c r="B26">
        <v>133.1</v>
      </c>
      <c r="C26">
        <v>0.24</v>
      </c>
      <c r="D26">
        <v>45.03</v>
      </c>
      <c r="E26">
        <f t="shared" si="1"/>
        <v>37.230000000000004</v>
      </c>
      <c r="F26">
        <v>336.67</v>
      </c>
      <c r="G26">
        <f t="shared" si="2"/>
        <v>31.943999999999999</v>
      </c>
      <c r="H26" s="9">
        <f t="shared" si="16"/>
        <v>56.468336597496702</v>
      </c>
      <c r="I26">
        <v>156.6</v>
      </c>
      <c r="J26">
        <v>0.26</v>
      </c>
      <c r="K26">
        <f t="shared" si="4"/>
        <v>40.716000000000001</v>
      </c>
      <c r="L26">
        <v>89.26</v>
      </c>
      <c r="M26">
        <f>L26-D26</f>
        <v>44.230000000000004</v>
      </c>
      <c r="N26">
        <v>343.17</v>
      </c>
      <c r="O26" s="9">
        <f t="shared" si="17"/>
        <v>67.085536602398037</v>
      </c>
      <c r="P26">
        <v>199.2</v>
      </c>
      <c r="Q26">
        <v>0.3</v>
      </c>
      <c r="R26">
        <f t="shared" si="6"/>
        <v>59.759999999999991</v>
      </c>
      <c r="S26">
        <f t="shared" si="7"/>
        <v>63.89</v>
      </c>
      <c r="T26">
        <v>153.15</v>
      </c>
      <c r="U26" s="9">
        <f t="shared" si="18"/>
        <v>96.904701187592366</v>
      </c>
      <c r="V26">
        <v>333</v>
      </c>
      <c r="W26">
        <v>195.7</v>
      </c>
      <c r="X26">
        <v>0.28000000000000003</v>
      </c>
      <c r="Y26">
        <f t="shared" si="9"/>
        <v>54.795999999999999</v>
      </c>
      <c r="Z26">
        <f>AA26-T26</f>
        <v>56.269999999999982</v>
      </c>
      <c r="AA26">
        <v>209.42</v>
      </c>
      <c r="AB26" s="9">
        <f t="shared" si="19"/>
        <v>85.347120610828298</v>
      </c>
      <c r="AC26">
        <v>335.95</v>
      </c>
      <c r="AD26">
        <f t="shared" si="11"/>
        <v>54.795999999999999</v>
      </c>
      <c r="AE26">
        <f t="shared" si="12"/>
        <v>2.1743388834476005</v>
      </c>
      <c r="AF26">
        <f>V26/(W26*X26)</f>
        <v>6.0770859186801953</v>
      </c>
      <c r="AG26">
        <v>22</v>
      </c>
      <c r="AH26">
        <v>11</v>
      </c>
      <c r="AI26">
        <f t="shared" si="0"/>
        <v>319.09151646898039</v>
      </c>
      <c r="AJ26">
        <f t="shared" si="20"/>
        <v>317.63628928949117</v>
      </c>
      <c r="AK26">
        <v>23</v>
      </c>
      <c r="AL26" s="1">
        <f t="shared" si="14"/>
        <v>209.42</v>
      </c>
      <c r="AM26" s="2">
        <f>B26*C26+I26*J26+P26*Q26+W26*X26</f>
        <v>187.21599999999998</v>
      </c>
      <c r="AO26">
        <f>D26-B26*C26-AR$2-AS$2*C26-AT$2*C26*C26</f>
        <v>0.29400000000000248</v>
      </c>
      <c r="AP26">
        <f t="shared" si="15"/>
        <v>9.1028946280986497E-3</v>
      </c>
    </row>
    <row r="27" spans="1:42">
      <c r="A27">
        <v>24</v>
      </c>
      <c r="B27">
        <v>133</v>
      </c>
      <c r="C27">
        <v>0.23</v>
      </c>
      <c r="D27">
        <v>44.29</v>
      </c>
      <c r="E27">
        <f t="shared" si="1"/>
        <v>36.49</v>
      </c>
      <c r="F27">
        <v>331.28</v>
      </c>
      <c r="G27">
        <f t="shared" si="2"/>
        <v>30.59</v>
      </c>
      <c r="H27" s="9">
        <f t="shared" si="16"/>
        <v>54.980326949696661</v>
      </c>
      <c r="I27">
        <v>156.30000000000001</v>
      </c>
      <c r="J27">
        <v>0.26</v>
      </c>
      <c r="K27">
        <f t="shared" si="4"/>
        <v>40.638000000000005</v>
      </c>
      <c r="L27">
        <v>87.54</v>
      </c>
      <c r="M27">
        <f>L27-D27</f>
        <v>43.250000000000007</v>
      </c>
      <c r="N27">
        <v>337.72</v>
      </c>
      <c r="O27" s="9">
        <f t="shared" si="17"/>
        <v>65.165775296639637</v>
      </c>
      <c r="P27">
        <v>199.2</v>
      </c>
      <c r="Q27">
        <v>0.3</v>
      </c>
      <c r="R27">
        <f t="shared" si="6"/>
        <v>59.759999999999991</v>
      </c>
      <c r="S27">
        <f t="shared" si="7"/>
        <v>62.8</v>
      </c>
      <c r="T27">
        <v>150.34</v>
      </c>
      <c r="U27" s="9">
        <f t="shared" si="18"/>
        <v>94.622212453849002</v>
      </c>
      <c r="V27">
        <v>323.74</v>
      </c>
      <c r="W27">
        <v>195.3</v>
      </c>
      <c r="X27">
        <v>0.28000000000000003</v>
      </c>
      <c r="Y27">
        <f t="shared" si="9"/>
        <v>54.684000000000012</v>
      </c>
      <c r="Z27">
        <f>AA27-T27</f>
        <v>57.84</v>
      </c>
      <c r="AA27">
        <v>208.18</v>
      </c>
      <c r="AB27" s="9">
        <f t="shared" si="19"/>
        <v>87.148865737748835</v>
      </c>
      <c r="AC27">
        <v>330.88</v>
      </c>
      <c r="AD27">
        <f t="shared" si="11"/>
        <v>54.684000000000012</v>
      </c>
      <c r="AE27">
        <f t="shared" si="12"/>
        <v>2.1533856591725424</v>
      </c>
      <c r="AF27">
        <f>V27/(W27*X27)</f>
        <v>5.920196035403408</v>
      </c>
      <c r="AG27">
        <v>23</v>
      </c>
      <c r="AH27">
        <v>12</v>
      </c>
      <c r="AI27">
        <f t="shared" si="0"/>
        <v>316.68915599989157</v>
      </c>
      <c r="AJ27">
        <f t="shared" si="20"/>
        <v>313.66962083825297</v>
      </c>
      <c r="AK27">
        <v>24</v>
      </c>
      <c r="AL27" s="1">
        <f t="shared" si="14"/>
        <v>208.18</v>
      </c>
      <c r="AM27" s="2">
        <f>B27*C27+I27*J27+P27*Q27+W27*X27</f>
        <v>185.67200000000003</v>
      </c>
      <c r="AO27">
        <f>D27-B27*C27-AR$2-AS$2*C27-AT$2*C27*C27</f>
        <v>1.161999999999999</v>
      </c>
      <c r="AP27">
        <f t="shared" si="15"/>
        <v>0.5968967128099163</v>
      </c>
    </row>
    <row r="28" spans="1:42">
      <c r="A28">
        <v>25</v>
      </c>
      <c r="B28">
        <v>132</v>
      </c>
      <c r="C28">
        <v>0.22</v>
      </c>
      <c r="D28">
        <v>43.75</v>
      </c>
      <c r="E28">
        <f t="shared" si="1"/>
        <v>35.950000000000003</v>
      </c>
      <c r="F28">
        <v>319.83</v>
      </c>
      <c r="G28">
        <f t="shared" si="2"/>
        <v>29.04</v>
      </c>
      <c r="H28" s="9">
        <f t="shared" si="16"/>
        <v>53.453400900222682</v>
      </c>
      <c r="I28">
        <v>155.6</v>
      </c>
      <c r="J28">
        <v>0.25</v>
      </c>
      <c r="K28">
        <f t="shared" si="4"/>
        <v>38.9</v>
      </c>
      <c r="L28">
        <v>85.89</v>
      </c>
      <c r="M28">
        <f>L28-D28</f>
        <v>42.14</v>
      </c>
      <c r="N28">
        <v>332.28</v>
      </c>
      <c r="O28" s="9">
        <f t="shared" si="17"/>
        <v>62.657199274975902</v>
      </c>
      <c r="P28">
        <v>198.3</v>
      </c>
      <c r="Q28">
        <v>0.28999999999999998</v>
      </c>
      <c r="R28">
        <f t="shared" si="6"/>
        <v>57.506999999999998</v>
      </c>
      <c r="S28">
        <f t="shared" si="7"/>
        <v>62.850000000000009</v>
      </c>
      <c r="T28">
        <v>148.74</v>
      </c>
      <c r="U28" s="9">
        <f t="shared" si="18"/>
        <v>93.450521462558996</v>
      </c>
      <c r="V28">
        <v>309.86</v>
      </c>
      <c r="W28">
        <v>194.7</v>
      </c>
      <c r="X28">
        <v>0.27</v>
      </c>
      <c r="Y28">
        <f t="shared" si="9"/>
        <v>52.569000000000003</v>
      </c>
      <c r="Z28">
        <f>AA28-T28</f>
        <v>50.819999999999993</v>
      </c>
      <c r="AA28">
        <v>199.56</v>
      </c>
      <c r="AB28" s="9">
        <f t="shared" si="19"/>
        <v>75.563333344904493</v>
      </c>
      <c r="AC28">
        <v>315.74</v>
      </c>
      <c r="AD28">
        <f t="shared" si="11"/>
        <v>52.569000000000003</v>
      </c>
      <c r="AE28">
        <f t="shared" si="12"/>
        <v>2.0832324862175606</v>
      </c>
      <c r="AF28">
        <f>V28/(W28*X28)</f>
        <v>5.8943483802240868</v>
      </c>
      <c r="AG28">
        <v>24</v>
      </c>
      <c r="AH28">
        <v>13</v>
      </c>
      <c r="AI28">
        <f t="shared" si="0"/>
        <v>302.59507489313944</v>
      </c>
      <c r="AJ28">
        <f t="shared" si="20"/>
        <v>296.72213306393428</v>
      </c>
      <c r="AK28">
        <v>25</v>
      </c>
      <c r="AL28" s="1">
        <f t="shared" si="14"/>
        <v>199.56</v>
      </c>
      <c r="AM28" s="2">
        <f>B28*C28+I28*J28+P28*Q28+W28*X28</f>
        <v>178.01600000000002</v>
      </c>
      <c r="AO28">
        <f>D28-B28*C28-AR$2-AS$2*C28-AT$2*C28*C28</f>
        <v>2.422000000000001</v>
      </c>
      <c r="AP28">
        <f t="shared" si="15"/>
        <v>4.1314258037190141</v>
      </c>
    </row>
    <row r="29" spans="1:42">
      <c r="A29">
        <v>26</v>
      </c>
      <c r="B29">
        <v>131.69999999999999</v>
      </c>
      <c r="C29">
        <v>0.21</v>
      </c>
      <c r="D29">
        <v>42.23</v>
      </c>
      <c r="E29">
        <f t="shared" si="1"/>
        <v>34.43</v>
      </c>
      <c r="F29">
        <v>312.44</v>
      </c>
      <c r="G29">
        <f t="shared" si="2"/>
        <v>27.656999999999996</v>
      </c>
      <c r="H29" s="9">
        <f t="shared" si="16"/>
        <v>50.185465671691588</v>
      </c>
      <c r="I29">
        <v>155.30000000000001</v>
      </c>
      <c r="J29">
        <v>0.25</v>
      </c>
      <c r="K29">
        <f t="shared" si="4"/>
        <v>38.825000000000003</v>
      </c>
      <c r="L29">
        <v>82.54</v>
      </c>
      <c r="M29">
        <f>L29-D29</f>
        <v>40.310000000000009</v>
      </c>
      <c r="N29">
        <v>318.97000000000003</v>
      </c>
      <c r="O29" s="9">
        <f t="shared" si="17"/>
        <v>58.756204508448697</v>
      </c>
      <c r="P29">
        <v>197.5</v>
      </c>
      <c r="Q29">
        <v>0.27</v>
      </c>
      <c r="R29">
        <f t="shared" si="6"/>
        <v>53.325000000000003</v>
      </c>
      <c r="S29">
        <f t="shared" si="7"/>
        <v>60.749999999999986</v>
      </c>
      <c r="T29">
        <v>143.29</v>
      </c>
      <c r="U29" s="9">
        <f t="shared" si="18"/>
        <v>88.549725226699479</v>
      </c>
      <c r="V29">
        <v>295.45999999999998</v>
      </c>
      <c r="W29">
        <v>194</v>
      </c>
      <c r="X29">
        <v>0.26</v>
      </c>
      <c r="Y29">
        <f t="shared" si="9"/>
        <v>50.440000000000005</v>
      </c>
      <c r="Z29">
        <f>AA29-T29</f>
        <v>48.510000000000019</v>
      </c>
      <c r="AA29">
        <v>191.8</v>
      </c>
      <c r="AB29" s="9">
        <f t="shared" si="19"/>
        <v>70.708595403246008</v>
      </c>
      <c r="AC29">
        <v>309</v>
      </c>
      <c r="AD29">
        <f t="shared" si="11"/>
        <v>50.440000000000005</v>
      </c>
      <c r="AE29">
        <f t="shared" si="12"/>
        <v>2.061972224160793</v>
      </c>
      <c r="AF29">
        <f>V29/(W29*X29)</f>
        <v>5.8576526566217275</v>
      </c>
      <c r="AG29">
        <v>25</v>
      </c>
      <c r="AH29">
        <v>14</v>
      </c>
      <c r="AI29">
        <f t="shared" si="0"/>
        <v>289.41978710386826</v>
      </c>
      <c r="AJ29">
        <f t="shared" si="20"/>
        <v>279.56933824660024</v>
      </c>
      <c r="AK29">
        <v>26</v>
      </c>
      <c r="AL29" s="1">
        <f t="shared" si="14"/>
        <v>191.8</v>
      </c>
      <c r="AM29" s="2">
        <f>B29*C29+I29*J29+P29*Q29+W29*X29</f>
        <v>170.24700000000001</v>
      </c>
      <c r="AO29">
        <f>D29-B29*C29-AR$2-AS$2*C29-AT$2*C29*C29</f>
        <v>2.5310000000000006</v>
      </c>
      <c r="AP29">
        <f t="shared" si="15"/>
        <v>4.5864116219008304</v>
      </c>
    </row>
    <row r="30" spans="1:42">
      <c r="A30">
        <v>27</v>
      </c>
      <c r="B30">
        <v>130.80000000000001</v>
      </c>
      <c r="C30">
        <v>0.2</v>
      </c>
      <c r="D30">
        <v>40.75</v>
      </c>
      <c r="E30">
        <f t="shared" si="1"/>
        <v>32.950000000000003</v>
      </c>
      <c r="F30">
        <v>294.27</v>
      </c>
      <c r="G30">
        <f t="shared" si="2"/>
        <v>26.160000000000004</v>
      </c>
      <c r="H30" s="9">
        <f t="shared" si="16"/>
        <v>46.771612104756151</v>
      </c>
      <c r="I30">
        <v>153.9</v>
      </c>
      <c r="J30">
        <v>0.22</v>
      </c>
      <c r="K30">
        <f t="shared" si="4"/>
        <v>33.858000000000004</v>
      </c>
      <c r="L30">
        <v>79.790000000000006</v>
      </c>
      <c r="M30">
        <f>L30-D30</f>
        <v>39.040000000000006</v>
      </c>
      <c r="N30">
        <v>310.05</v>
      </c>
      <c r="O30" s="9">
        <f t="shared" si="17"/>
        <v>55.416198378442495</v>
      </c>
      <c r="P30">
        <v>196.1</v>
      </c>
      <c r="Q30">
        <v>0.26</v>
      </c>
      <c r="R30">
        <f t="shared" si="6"/>
        <v>50.985999999999997</v>
      </c>
      <c r="S30">
        <f t="shared" si="7"/>
        <v>57.969999999999985</v>
      </c>
      <c r="T30">
        <v>137.76</v>
      </c>
      <c r="U30" s="9">
        <f t="shared" si="18"/>
        <v>82.28680891389115</v>
      </c>
      <c r="V30">
        <v>279.02999999999997</v>
      </c>
      <c r="W30">
        <v>192.7</v>
      </c>
      <c r="X30">
        <v>0.24</v>
      </c>
      <c r="Y30">
        <f t="shared" si="9"/>
        <v>46.247999999999998</v>
      </c>
      <c r="Z30">
        <f>AA30-T30</f>
        <v>42.450000000000017</v>
      </c>
      <c r="AA30">
        <v>180.21</v>
      </c>
      <c r="AB30" s="9">
        <f t="shared" si="19"/>
        <v>60.256598902789051</v>
      </c>
      <c r="AC30">
        <v>290.45</v>
      </c>
      <c r="AD30">
        <f t="shared" si="11"/>
        <v>46.247999999999998</v>
      </c>
      <c r="AE30">
        <f t="shared" si="12"/>
        <v>2.0254790940766552</v>
      </c>
      <c r="AF30">
        <f>V30/(W30*X30)</f>
        <v>6.0333419823559931</v>
      </c>
      <c r="AG30">
        <v>26</v>
      </c>
      <c r="AH30">
        <v>15</v>
      </c>
      <c r="AI30">
        <f t="shared" si="0"/>
        <v>270.17604898495171</v>
      </c>
      <c r="AJ30">
        <f t="shared" si="20"/>
        <v>255.8031021972111</v>
      </c>
      <c r="AK30">
        <v>27</v>
      </c>
      <c r="AL30" s="1">
        <f t="shared" si="14"/>
        <v>180.21</v>
      </c>
      <c r="AM30" s="2">
        <f>B30*C30+I30*J30+P30*Q30+W30*X30</f>
        <v>157.25200000000001</v>
      </c>
      <c r="AO30">
        <f>D30-B30*C30-AR$2-AS$2*C30-AT$2*C30*C30</f>
        <v>2.7899999999999965</v>
      </c>
      <c r="AP30">
        <f t="shared" si="15"/>
        <v>5.7628367128099018</v>
      </c>
    </row>
    <row r="31" spans="1:42">
      <c r="A31">
        <v>28</v>
      </c>
      <c r="B31">
        <v>130</v>
      </c>
      <c r="C31">
        <v>0.19</v>
      </c>
      <c r="D31">
        <v>39.32</v>
      </c>
      <c r="E31">
        <f t="shared" si="1"/>
        <v>31.52</v>
      </c>
      <c r="F31">
        <v>276.08999999999997</v>
      </c>
      <c r="G31">
        <f t="shared" si="2"/>
        <v>24.7</v>
      </c>
      <c r="H31" s="9">
        <f t="shared" si="16"/>
        <v>43.283324439581776</v>
      </c>
      <c r="I31">
        <v>152.9</v>
      </c>
      <c r="J31">
        <v>0.21</v>
      </c>
      <c r="K31">
        <f t="shared" si="4"/>
        <v>32.109000000000002</v>
      </c>
      <c r="L31">
        <v>75.55</v>
      </c>
      <c r="M31">
        <f>L31-D31</f>
        <v>36.229999999999997</v>
      </c>
      <c r="N31">
        <v>291.13</v>
      </c>
      <c r="O31" s="9">
        <f t="shared" si="17"/>
        <v>49.751105471004045</v>
      </c>
      <c r="P31">
        <v>195.5</v>
      </c>
      <c r="Q31">
        <v>0.25</v>
      </c>
      <c r="R31">
        <f t="shared" si="6"/>
        <v>48.875</v>
      </c>
      <c r="S31">
        <f t="shared" si="7"/>
        <v>54.820000000000007</v>
      </c>
      <c r="T31">
        <v>130.37</v>
      </c>
      <c r="U31" s="9">
        <f t="shared" si="18"/>
        <v>75.278929117318313</v>
      </c>
      <c r="V31">
        <v>261</v>
      </c>
      <c r="W31">
        <v>191.7</v>
      </c>
      <c r="X31">
        <v>0.22</v>
      </c>
      <c r="Y31">
        <f t="shared" si="9"/>
        <v>42.173999999999999</v>
      </c>
      <c r="Z31">
        <f>AA31-T31</f>
        <v>38.240000000000009</v>
      </c>
      <c r="AA31">
        <v>168.61</v>
      </c>
      <c r="AB31" s="9">
        <f t="shared" si="19"/>
        <v>52.511241325177899</v>
      </c>
      <c r="AC31">
        <v>261.3</v>
      </c>
      <c r="AD31">
        <f t="shared" si="11"/>
        <v>42.173999999999999</v>
      </c>
      <c r="AE31">
        <f t="shared" si="12"/>
        <v>2.0019943238475109</v>
      </c>
      <c r="AF31">
        <f>V31/(W31*X31)</f>
        <v>6.1886470337174559</v>
      </c>
      <c r="AG31">
        <v>27</v>
      </c>
      <c r="AH31">
        <v>16</v>
      </c>
      <c r="AI31">
        <f t="shared" si="0"/>
        <v>250.74756051835058</v>
      </c>
      <c r="AJ31">
        <f t="shared" si="20"/>
        <v>231.53557530957752</v>
      </c>
      <c r="AK31">
        <v>28</v>
      </c>
      <c r="AL31" s="1">
        <f t="shared" si="14"/>
        <v>168.61</v>
      </c>
      <c r="AM31" s="2">
        <f>B31*C31+I31*J31+P31*Q31+W31*X31</f>
        <v>147.858</v>
      </c>
      <c r="AO31">
        <f>D31-B31*C31-AR$2-AS$2*C31-AT$2*C31*C31</f>
        <v>3.0580000000000012</v>
      </c>
      <c r="AP31">
        <f t="shared" si="15"/>
        <v>7.1213774400826528</v>
      </c>
    </row>
    <row r="32" spans="1:42">
      <c r="A32">
        <v>29</v>
      </c>
      <c r="B32">
        <v>129.30000000000001</v>
      </c>
      <c r="C32">
        <v>0.18</v>
      </c>
      <c r="D32">
        <v>37.89</v>
      </c>
      <c r="E32">
        <f t="shared" si="1"/>
        <v>30.09</v>
      </c>
      <c r="F32">
        <v>257.92</v>
      </c>
      <c r="G32">
        <f t="shared" si="2"/>
        <v>23.274000000000001</v>
      </c>
      <c r="H32" s="9">
        <f t="shared" si="16"/>
        <v>39.708690563382127</v>
      </c>
      <c r="I32">
        <v>152</v>
      </c>
      <c r="J32">
        <v>0.2</v>
      </c>
      <c r="K32">
        <f t="shared" si="4"/>
        <v>30.400000000000002</v>
      </c>
      <c r="L32">
        <v>70.900000000000006</v>
      </c>
      <c r="M32">
        <f>L32-D32</f>
        <v>33.010000000000005</v>
      </c>
      <c r="N32">
        <v>277.22000000000003</v>
      </c>
      <c r="O32" s="9">
        <f t="shared" si="17"/>
        <v>43.562109521344112</v>
      </c>
      <c r="P32">
        <v>193.5</v>
      </c>
      <c r="Q32">
        <v>0.23</v>
      </c>
      <c r="R32">
        <f t="shared" si="6"/>
        <v>44.505000000000003</v>
      </c>
      <c r="S32">
        <f t="shared" si="7"/>
        <v>52.97999999999999</v>
      </c>
      <c r="T32">
        <v>123.88</v>
      </c>
      <c r="U32" s="9">
        <f t="shared" si="18"/>
        <v>69.915800134529249</v>
      </c>
      <c r="V32">
        <v>240.44</v>
      </c>
      <c r="W32">
        <v>190.7</v>
      </c>
      <c r="X32">
        <v>0.21</v>
      </c>
      <c r="Y32">
        <f t="shared" si="9"/>
        <v>40.046999999999997</v>
      </c>
      <c r="Z32">
        <f>AA32-T32</f>
        <v>31.620000000000005</v>
      </c>
      <c r="AA32">
        <v>155.5</v>
      </c>
      <c r="AB32" s="9">
        <f t="shared" si="19"/>
        <v>41.727776524232077</v>
      </c>
      <c r="AC32">
        <v>227.62</v>
      </c>
      <c r="AD32">
        <f t="shared" si="11"/>
        <v>40.046999999999997</v>
      </c>
      <c r="AE32">
        <f t="shared" si="12"/>
        <v>1.9409105586051019</v>
      </c>
      <c r="AF32">
        <f>V32/(W32*X32)</f>
        <v>6.0039453641970688</v>
      </c>
      <c r="AG32">
        <v>28</v>
      </c>
      <c r="AH32">
        <v>17</v>
      </c>
      <c r="AI32">
        <f t="shared" si="0"/>
        <v>229.01624820185717</v>
      </c>
      <c r="AJ32">
        <f t="shared" si="20"/>
        <v>205.20775615174213</v>
      </c>
      <c r="AK32">
        <v>29</v>
      </c>
      <c r="AL32" s="1">
        <f t="shared" si="14"/>
        <v>155.5</v>
      </c>
      <c r="AM32" s="2">
        <f>B32*C32+I32*J32+P32*Q32+W32*X32</f>
        <v>138.226</v>
      </c>
      <c r="AO32">
        <f>D32-B32*C32-AR$2-AS$2*C32-AT$2*C32*C32</f>
        <v>3.2880000000000003</v>
      </c>
      <c r="AP32">
        <f t="shared" si="15"/>
        <v>8.4018292582644669</v>
      </c>
    </row>
    <row r="33" spans="1:42">
      <c r="A33">
        <v>30</v>
      </c>
      <c r="B33">
        <v>128.19999999999999</v>
      </c>
      <c r="C33">
        <v>0.16</v>
      </c>
      <c r="D33">
        <v>35.58</v>
      </c>
      <c r="E33">
        <f t="shared" si="1"/>
        <v>27.779999999999998</v>
      </c>
      <c r="F33">
        <v>239.75</v>
      </c>
      <c r="G33">
        <f t="shared" si="2"/>
        <v>20.511999999999997</v>
      </c>
      <c r="H33" s="9">
        <f t="shared" si="16"/>
        <v>34.998230963066312</v>
      </c>
      <c r="I33">
        <v>151</v>
      </c>
      <c r="J33">
        <v>0.19</v>
      </c>
      <c r="K33">
        <f t="shared" si="4"/>
        <v>28.69</v>
      </c>
      <c r="L33">
        <v>66.28</v>
      </c>
      <c r="M33">
        <f>L33-D33</f>
        <v>30.700000000000003</v>
      </c>
      <c r="N33">
        <v>250.59</v>
      </c>
      <c r="O33" s="9">
        <f t="shared" si="17"/>
        <v>38.67695070432454</v>
      </c>
      <c r="P33">
        <v>192.2</v>
      </c>
      <c r="Q33">
        <v>0.21</v>
      </c>
      <c r="R33">
        <f t="shared" si="6"/>
        <v>40.361999999999995</v>
      </c>
      <c r="S33">
        <f t="shared" si="7"/>
        <v>48.66</v>
      </c>
      <c r="T33">
        <v>114.94</v>
      </c>
      <c r="U33" s="9">
        <f t="shared" si="18"/>
        <v>61.303596784118298</v>
      </c>
      <c r="V33">
        <v>225.53</v>
      </c>
      <c r="W33">
        <v>189.4</v>
      </c>
      <c r="X33">
        <v>0.19</v>
      </c>
      <c r="Y33">
        <f t="shared" si="9"/>
        <v>35.986000000000004</v>
      </c>
      <c r="Z33">
        <f>AA33-T33</f>
        <v>27.47999999999999</v>
      </c>
      <c r="AA33">
        <v>142.41999999999999</v>
      </c>
      <c r="AB33" s="9">
        <f t="shared" si="19"/>
        <v>34.620280304717845</v>
      </c>
      <c r="AC33">
        <v>214.72</v>
      </c>
      <c r="AD33">
        <f t="shared" si="11"/>
        <v>35.986000000000004</v>
      </c>
      <c r="AE33">
        <f t="shared" si="12"/>
        <v>1.9621541673916827</v>
      </c>
      <c r="AF33">
        <f>V33/(W33*X33)</f>
        <v>6.2671594508975703</v>
      </c>
      <c r="AG33">
        <v>29</v>
      </c>
      <c r="AH33">
        <v>18</v>
      </c>
      <c r="AI33">
        <f t="shared" si="0"/>
        <v>207.38936584240687</v>
      </c>
      <c r="AJ33">
        <f t="shared" si="20"/>
        <v>179.42577587328665</v>
      </c>
      <c r="AK33">
        <v>30</v>
      </c>
      <c r="AL33" s="1">
        <f t="shared" si="14"/>
        <v>142.41999999999999</v>
      </c>
      <c r="AM33" s="2">
        <f>B33*C33+I33*J33+P33*Q33+W33*X33</f>
        <v>125.55</v>
      </c>
      <c r="AO33">
        <f>D33-B33*C33-AR$2-AS$2*C33-AT$2*C33*C33</f>
        <v>4.1960000000000015</v>
      </c>
      <c r="AP33">
        <f t="shared" si="15"/>
        <v>14.490134349173568</v>
      </c>
    </row>
    <row r="34" spans="1:42">
      <c r="A34">
        <v>31</v>
      </c>
      <c r="B34">
        <v>127.5</v>
      </c>
      <c r="C34">
        <v>0.15</v>
      </c>
      <c r="D34">
        <v>33.119999999999997</v>
      </c>
      <c r="E34">
        <f t="shared" si="1"/>
        <v>25.319999999999997</v>
      </c>
      <c r="F34">
        <v>226.29</v>
      </c>
      <c r="G34">
        <f t="shared" si="2"/>
        <v>19.125</v>
      </c>
      <c r="H34" s="9">
        <f t="shared" si="16"/>
        <v>30.25168169786388</v>
      </c>
      <c r="I34">
        <v>149.6</v>
      </c>
      <c r="J34">
        <v>0.17</v>
      </c>
      <c r="K34">
        <f t="shared" si="4"/>
        <v>25.432000000000002</v>
      </c>
      <c r="L34">
        <v>60.94</v>
      </c>
      <c r="M34">
        <f>L34-D34</f>
        <v>27.82</v>
      </c>
      <c r="N34">
        <v>234.27</v>
      </c>
      <c r="O34" s="9">
        <f t="shared" si="17"/>
        <v>33.238617094572405</v>
      </c>
      <c r="P34">
        <v>190.5</v>
      </c>
      <c r="Q34">
        <v>0.2</v>
      </c>
      <c r="R34">
        <f t="shared" si="6"/>
        <v>38.1</v>
      </c>
      <c r="S34">
        <f t="shared" si="7"/>
        <v>45.290000000000006</v>
      </c>
      <c r="T34">
        <v>106.23</v>
      </c>
      <c r="U34" s="9">
        <f t="shared" si="18"/>
        <v>54.11132164677155</v>
      </c>
      <c r="V34">
        <v>217.29</v>
      </c>
      <c r="W34">
        <v>188</v>
      </c>
      <c r="X34">
        <v>0.17</v>
      </c>
      <c r="Y34">
        <f t="shared" si="9"/>
        <v>31.96</v>
      </c>
      <c r="Z34">
        <f>AA34-T34</f>
        <v>22.38000000000001</v>
      </c>
      <c r="AA34">
        <v>128.61000000000001</v>
      </c>
      <c r="AB34" s="9">
        <f t="shared" si="19"/>
        <v>26.739045671334676</v>
      </c>
      <c r="AC34">
        <v>184.42</v>
      </c>
      <c r="AD34">
        <f t="shared" si="11"/>
        <v>31.96</v>
      </c>
      <c r="AE34">
        <f t="shared" si="12"/>
        <v>2.045467382095453</v>
      </c>
      <c r="AF34">
        <f>V34/(W34*X34)</f>
        <v>6.7988110137672084</v>
      </c>
      <c r="AG34">
        <v>30</v>
      </c>
      <c r="AH34">
        <v>19</v>
      </c>
      <c r="AI34">
        <f t="shared" si="0"/>
        <v>184.87020634795977</v>
      </c>
      <c r="AJ34">
        <f t="shared" si="20"/>
        <v>153.65990454827309</v>
      </c>
      <c r="AK34">
        <v>31</v>
      </c>
      <c r="AL34" s="1">
        <f t="shared" si="14"/>
        <v>128.61000000000001</v>
      </c>
      <c r="AM34" s="2">
        <f>B34*C34+I34*J34+P34*Q34+W34*X34</f>
        <v>114.61700000000002</v>
      </c>
      <c r="AO34">
        <f>D34-B34*C34-AR$2-AS$2*C34-AT$2*C34*C34</f>
        <v>3.344999999999998</v>
      </c>
      <c r="AP34">
        <f t="shared" si="15"/>
        <v>8.7355176219008168</v>
      </c>
    </row>
    <row r="35" spans="1:42">
      <c r="A35">
        <v>32</v>
      </c>
      <c r="B35">
        <v>126.4</v>
      </c>
      <c r="C35">
        <v>0.14000000000000001</v>
      </c>
      <c r="D35">
        <v>31.21</v>
      </c>
      <c r="E35">
        <f t="shared" si="1"/>
        <v>23.41</v>
      </c>
      <c r="F35">
        <v>215.53</v>
      </c>
      <c r="G35">
        <f t="shared" si="2"/>
        <v>17.696000000000002</v>
      </c>
      <c r="H35" s="9">
        <f t="shared" si="16"/>
        <v>26.350004887632604</v>
      </c>
      <c r="I35">
        <v>158.5</v>
      </c>
      <c r="J35">
        <v>0.15</v>
      </c>
      <c r="K35">
        <f t="shared" si="4"/>
        <v>23.774999999999999</v>
      </c>
      <c r="L35">
        <v>55.51</v>
      </c>
      <c r="M35">
        <f>L35-D35</f>
        <v>24.299999999999997</v>
      </c>
      <c r="N35">
        <v>210.06</v>
      </c>
      <c r="O35" s="9">
        <f t="shared" si="17"/>
        <v>27.35177782013978</v>
      </c>
      <c r="P35">
        <v>189.2</v>
      </c>
      <c r="Q35">
        <v>0.18</v>
      </c>
      <c r="R35">
        <f t="shared" si="6"/>
        <v>34.055999999999997</v>
      </c>
      <c r="S35">
        <f t="shared" si="7"/>
        <v>42.29</v>
      </c>
      <c r="T35">
        <v>97.8</v>
      </c>
      <c r="U35" s="9">
        <f t="shared" si="18"/>
        <v>47.601098107560134</v>
      </c>
      <c r="V35">
        <v>198.79</v>
      </c>
      <c r="W35">
        <v>187.3</v>
      </c>
      <c r="X35">
        <v>0.15</v>
      </c>
      <c r="Y35">
        <f t="shared" si="9"/>
        <v>28.095000000000002</v>
      </c>
      <c r="Z35">
        <f>AA35-T35</f>
        <v>19.560000000000002</v>
      </c>
      <c r="AA35">
        <v>117.36</v>
      </c>
      <c r="AB35" s="9">
        <f t="shared" si="19"/>
        <v>22.016492763865607</v>
      </c>
      <c r="AC35">
        <v>176.55</v>
      </c>
      <c r="AD35">
        <f t="shared" si="11"/>
        <v>28.095000000000002</v>
      </c>
      <c r="AE35">
        <f t="shared" si="12"/>
        <v>2.0326175869120653</v>
      </c>
      <c r="AF35">
        <f>V35/(W35*X35)</f>
        <v>7.0756362342053736</v>
      </c>
      <c r="AG35">
        <v>31</v>
      </c>
      <c r="AH35">
        <v>20</v>
      </c>
      <c r="AI35">
        <f t="shared" si="0"/>
        <v>166.25934294115299</v>
      </c>
      <c r="AJ35">
        <f t="shared" si="20"/>
        <v>132.0989565831936</v>
      </c>
      <c r="AK35">
        <v>32</v>
      </c>
      <c r="AL35" s="1">
        <f t="shared" si="14"/>
        <v>117.36</v>
      </c>
      <c r="AM35" s="2">
        <f>B35*C35+I35*J35+P35*Q35+W35*X35</f>
        <v>103.622</v>
      </c>
      <c r="AO35">
        <f>D35-B35*C35-AR$2-AS$2*C35-AT$2*C35*C35</f>
        <v>3.0819999999999994</v>
      </c>
      <c r="AP35">
        <f t="shared" si="15"/>
        <v>7.250045803719007</v>
      </c>
    </row>
    <row r="36" spans="1:42">
      <c r="A36">
        <v>33</v>
      </c>
      <c r="B36">
        <v>125.3</v>
      </c>
      <c r="C36">
        <v>0.13</v>
      </c>
      <c r="D36">
        <v>28.78</v>
      </c>
      <c r="E36">
        <f t="shared" si="1"/>
        <v>20.98</v>
      </c>
      <c r="F36">
        <v>185.24</v>
      </c>
      <c r="G36">
        <f t="shared" si="2"/>
        <v>16.289000000000001</v>
      </c>
      <c r="H36" s="9">
        <f t="shared" si="16"/>
        <v>22.100379535794151</v>
      </c>
      <c r="I36">
        <v>147.4</v>
      </c>
      <c r="J36">
        <v>0.14000000000000001</v>
      </c>
      <c r="K36">
        <f t="shared" si="4"/>
        <v>20.636000000000003</v>
      </c>
      <c r="L36">
        <v>50.83</v>
      </c>
      <c r="M36">
        <f>L36-D36</f>
        <v>22.049999999999997</v>
      </c>
      <c r="N36">
        <v>194.33</v>
      </c>
      <c r="O36" s="9">
        <f t="shared" si="17"/>
        <v>23.227519960164965</v>
      </c>
      <c r="P36">
        <v>187.5</v>
      </c>
      <c r="Q36">
        <v>0.16</v>
      </c>
      <c r="R36">
        <f t="shared" si="6"/>
        <v>30</v>
      </c>
      <c r="S36">
        <f t="shared" si="7"/>
        <v>38.070000000000007</v>
      </c>
      <c r="T36">
        <v>88.9</v>
      </c>
      <c r="U36" s="9">
        <f t="shared" si="18"/>
        <v>40.103024257754214</v>
      </c>
      <c r="V36">
        <v>178.73</v>
      </c>
      <c r="W36">
        <v>185.2</v>
      </c>
      <c r="X36">
        <v>0.13</v>
      </c>
      <c r="Y36">
        <f t="shared" si="9"/>
        <v>24.076000000000001</v>
      </c>
      <c r="Z36">
        <f>AA36-T36</f>
        <v>15.799999999999997</v>
      </c>
      <c r="AA36">
        <v>104.7</v>
      </c>
      <c r="AB36" s="9">
        <f t="shared" si="19"/>
        <v>16.643755799120473</v>
      </c>
      <c r="AC36">
        <v>154.11000000000001</v>
      </c>
      <c r="AD36">
        <f t="shared" si="11"/>
        <v>24.076000000000001</v>
      </c>
      <c r="AE36">
        <f t="shared" si="12"/>
        <v>2.0104611923509559</v>
      </c>
      <c r="AF36">
        <f>V36/(W36*X36)</f>
        <v>7.4235753447416508</v>
      </c>
      <c r="AG36">
        <v>32</v>
      </c>
      <c r="AH36">
        <v>21</v>
      </c>
      <c r="AI36">
        <f t="shared" si="0"/>
        <v>145.94307671082987</v>
      </c>
      <c r="AJ36">
        <f t="shared" si="20"/>
        <v>110.29121722581733</v>
      </c>
      <c r="AK36">
        <v>33</v>
      </c>
      <c r="AL36" s="1">
        <f t="shared" si="14"/>
        <v>104.7</v>
      </c>
      <c r="AM36" s="2">
        <f>B36*C36+I36*J36+P36*Q36+W36*X36</f>
        <v>91.001000000000005</v>
      </c>
      <c r="AO36">
        <f>D36-B36*C36-AR$2-AS$2*C36-AT$2*C36*C36</f>
        <v>2.2729999999999997</v>
      </c>
      <c r="AP36">
        <f t="shared" si="15"/>
        <v>3.5479147128099173</v>
      </c>
    </row>
    <row r="37" spans="1:42">
      <c r="A37">
        <v>34</v>
      </c>
      <c r="B37">
        <v>124.1</v>
      </c>
      <c r="C37">
        <v>0.11</v>
      </c>
      <c r="D37">
        <v>26.52</v>
      </c>
      <c r="E37">
        <f t="shared" si="1"/>
        <v>18.72</v>
      </c>
      <c r="F37">
        <v>173.13</v>
      </c>
      <c r="G37">
        <f t="shared" si="2"/>
        <v>13.651</v>
      </c>
      <c r="H37" s="9">
        <f t="shared" ref="H37:H46" si="21">E37*1.0483</f>
        <v>19.624175999999999</v>
      </c>
      <c r="I37">
        <v>146.30000000000001</v>
      </c>
      <c r="J37">
        <v>0.12</v>
      </c>
      <c r="K37">
        <f t="shared" si="4"/>
        <v>17.556000000000001</v>
      </c>
      <c r="L37">
        <v>45.88</v>
      </c>
      <c r="M37">
        <f>L37-D37</f>
        <v>19.360000000000003</v>
      </c>
      <c r="N37">
        <v>175.58</v>
      </c>
      <c r="O37" s="9">
        <f t="shared" ref="O37:O42" si="22">M37*1.0483</f>
        <v>20.295088000000003</v>
      </c>
      <c r="P37">
        <v>186.5</v>
      </c>
      <c r="Q37">
        <v>0.15</v>
      </c>
      <c r="R37">
        <f t="shared" si="6"/>
        <v>27.974999999999998</v>
      </c>
      <c r="S37">
        <f t="shared" si="7"/>
        <v>35.719999999999992</v>
      </c>
      <c r="T37">
        <v>81.599999999999994</v>
      </c>
      <c r="U37" s="9">
        <f t="shared" ref="U37:U46" si="23">S37*1.0483</f>
        <v>37.445275999999993</v>
      </c>
      <c r="V37">
        <v>166.9</v>
      </c>
      <c r="W37">
        <v>184.7</v>
      </c>
      <c r="X37">
        <v>0.12</v>
      </c>
      <c r="Y37">
        <f t="shared" si="9"/>
        <v>22.163999999999998</v>
      </c>
      <c r="Z37">
        <f>AA37-T37</f>
        <v>13.160000000000011</v>
      </c>
      <c r="AA37">
        <v>94.76</v>
      </c>
      <c r="AB37" s="9">
        <f t="shared" ref="AB37:AB46" si="24">Z37*1.0483</f>
        <v>13.795628000000011</v>
      </c>
      <c r="AC37">
        <v>133.91</v>
      </c>
      <c r="AD37">
        <f t="shared" si="11"/>
        <v>22.163999999999998</v>
      </c>
      <c r="AE37">
        <f t="shared" si="12"/>
        <v>2.045343137254902</v>
      </c>
      <c r="AF37">
        <f>V37/(W37*X37)</f>
        <v>7.5302292005053246</v>
      </c>
      <c r="AG37">
        <v>33</v>
      </c>
      <c r="AI37">
        <f t="shared" si="0"/>
        <v>129.75670558956739</v>
      </c>
      <c r="AJ37">
        <f t="shared" ref="AJ37:AJ42" si="25">AA37*1.0483</f>
        <v>99.336908000000008</v>
      </c>
      <c r="AK37">
        <v>34</v>
      </c>
      <c r="AL37" s="1">
        <f t="shared" si="14"/>
        <v>94.76</v>
      </c>
      <c r="AM37" s="2">
        <f>B37*C37+I37*J37+P37*Q37+W37*X37</f>
        <v>81.346000000000004</v>
      </c>
      <c r="AO37">
        <f>D37-B37*C37-AR$2-AS$2*C37-AT$2*C37*C37</f>
        <v>3.0670000000000002</v>
      </c>
      <c r="AP37">
        <f t="shared" si="15"/>
        <v>7.1694930764462832</v>
      </c>
    </row>
    <row r="38" spans="1:42">
      <c r="A38">
        <v>35</v>
      </c>
      <c r="B38">
        <v>123.8</v>
      </c>
      <c r="C38">
        <v>0.11</v>
      </c>
      <c r="D38">
        <v>24.79</v>
      </c>
      <c r="E38">
        <f t="shared" si="1"/>
        <v>16.989999999999998</v>
      </c>
      <c r="F38">
        <v>161.01</v>
      </c>
      <c r="G38">
        <f t="shared" si="2"/>
        <v>13.618</v>
      </c>
      <c r="H38" s="9">
        <f t="shared" si="21"/>
        <v>17.810616999999997</v>
      </c>
      <c r="I38">
        <v>145.4</v>
      </c>
      <c r="J38">
        <v>0.11</v>
      </c>
      <c r="K38">
        <f t="shared" si="4"/>
        <v>15.994000000000002</v>
      </c>
      <c r="L38">
        <v>42.1</v>
      </c>
      <c r="M38">
        <f>L38-D38</f>
        <v>17.310000000000002</v>
      </c>
      <c r="N38">
        <v>165.9</v>
      </c>
      <c r="O38" s="9">
        <f t="shared" si="22"/>
        <v>18.146073000000001</v>
      </c>
      <c r="P38">
        <v>185.2</v>
      </c>
      <c r="Q38">
        <v>0.13</v>
      </c>
      <c r="R38">
        <f t="shared" si="6"/>
        <v>24.076000000000001</v>
      </c>
      <c r="S38">
        <f t="shared" si="7"/>
        <v>31.93</v>
      </c>
      <c r="T38">
        <v>74.03</v>
      </c>
      <c r="U38" s="9">
        <f t="shared" si="23"/>
        <v>33.472219000000003</v>
      </c>
      <c r="V38">
        <v>147.88</v>
      </c>
      <c r="W38">
        <v>183.9</v>
      </c>
      <c r="X38">
        <v>0.11</v>
      </c>
      <c r="Y38">
        <f t="shared" si="9"/>
        <v>20.228999999999999</v>
      </c>
      <c r="Z38">
        <f>AA38-T38</f>
        <v>13.069999999999993</v>
      </c>
      <c r="AA38">
        <v>87.1</v>
      </c>
      <c r="AB38" s="9">
        <f t="shared" si="24"/>
        <v>13.701280999999993</v>
      </c>
      <c r="AC38">
        <v>123.79</v>
      </c>
      <c r="AD38">
        <f t="shared" si="11"/>
        <v>20.228999999999999</v>
      </c>
      <c r="AE38">
        <f t="shared" si="12"/>
        <v>1.9975685532892069</v>
      </c>
      <c r="AF38">
        <f>V38/(W38*X38)</f>
        <v>7.3102970982253206</v>
      </c>
      <c r="AG38">
        <v>34</v>
      </c>
      <c r="AI38">
        <f t="shared" si="0"/>
        <v>116.97362313873292</v>
      </c>
      <c r="AJ38">
        <f t="shared" si="25"/>
        <v>91.306929999999994</v>
      </c>
      <c r="AK38">
        <v>35</v>
      </c>
      <c r="AL38" s="1">
        <f t="shared" si="14"/>
        <v>87.1</v>
      </c>
      <c r="AM38" s="2">
        <f>B38*C38+I38*J38+P38*Q38+W38*X38</f>
        <v>73.917000000000002</v>
      </c>
      <c r="AO38">
        <f>D38-B38*C38-AR$2-AS$2*C38-AT$2*C38*C38</f>
        <v>1.369999999999999</v>
      </c>
      <c r="AP38">
        <f t="shared" si="15"/>
        <v>0.96155853099173416</v>
      </c>
    </row>
    <row r="39" spans="1:42">
      <c r="A39">
        <v>36</v>
      </c>
      <c r="B39">
        <v>123</v>
      </c>
      <c r="C39">
        <v>0.1</v>
      </c>
      <c r="D39">
        <v>23.61</v>
      </c>
      <c r="E39">
        <f t="shared" si="1"/>
        <v>15.809999999999999</v>
      </c>
      <c r="F39">
        <v>136.79</v>
      </c>
      <c r="G39">
        <f t="shared" si="2"/>
        <v>12.3</v>
      </c>
      <c r="H39" s="9">
        <f t="shared" si="21"/>
        <v>16.573622999999998</v>
      </c>
      <c r="I39">
        <v>145</v>
      </c>
      <c r="J39">
        <v>0.1</v>
      </c>
      <c r="K39">
        <f t="shared" si="4"/>
        <v>14.5</v>
      </c>
      <c r="L39">
        <v>38.520000000000003</v>
      </c>
      <c r="M39">
        <f>L39-D39</f>
        <v>14.910000000000004</v>
      </c>
      <c r="N39">
        <v>147.15</v>
      </c>
      <c r="O39" s="9">
        <f t="shared" si="22"/>
        <v>15.630153000000004</v>
      </c>
      <c r="P39">
        <v>183.6</v>
      </c>
      <c r="Q39">
        <v>0.12</v>
      </c>
      <c r="R39">
        <f t="shared" si="6"/>
        <v>22.032</v>
      </c>
      <c r="S39">
        <f t="shared" si="7"/>
        <v>28.54</v>
      </c>
      <c r="T39">
        <v>67.06</v>
      </c>
      <c r="U39" s="9">
        <f t="shared" si="23"/>
        <v>29.918482000000001</v>
      </c>
      <c r="V39">
        <v>138.1</v>
      </c>
      <c r="W39">
        <v>183.2</v>
      </c>
      <c r="X39">
        <v>0.1</v>
      </c>
      <c r="Y39">
        <f t="shared" si="9"/>
        <v>18.32</v>
      </c>
      <c r="Z39">
        <f>AA39-T39</f>
        <v>11.259999999999991</v>
      </c>
      <c r="AA39">
        <v>78.319999999999993</v>
      </c>
      <c r="AB39" s="9">
        <f t="shared" si="24"/>
        <v>11.803857999999991</v>
      </c>
      <c r="AC39">
        <v>113.7</v>
      </c>
      <c r="AD39">
        <f t="shared" si="11"/>
        <v>18.32</v>
      </c>
      <c r="AE39">
        <f t="shared" si="12"/>
        <v>2.0593498359677898</v>
      </c>
      <c r="AF39">
        <f>V39/(W39*X39)</f>
        <v>7.5382096069868991</v>
      </c>
      <c r="AG39">
        <v>35</v>
      </c>
      <c r="AI39">
        <f t="shared" si="0"/>
        <v>102.99225801345605</v>
      </c>
      <c r="AJ39">
        <f t="shared" si="25"/>
        <v>82.102855999999989</v>
      </c>
      <c r="AK39">
        <v>36</v>
      </c>
      <c r="AL39" s="1">
        <f t="shared" si="14"/>
        <v>78.319999999999993</v>
      </c>
      <c r="AM39" s="2">
        <f>B39*C39+I39*J39+P39*Q39+W39*X39</f>
        <v>67.152000000000001</v>
      </c>
      <c r="AO39">
        <f>D39-B39*C39-AR$2-AS$2*C39-AT$2*C39*C39</f>
        <v>1.7099999999999989</v>
      </c>
      <c r="AP39">
        <f t="shared" si="15"/>
        <v>1.7439603491735516</v>
      </c>
    </row>
    <row r="40" spans="1:42">
      <c r="A40">
        <v>37</v>
      </c>
      <c r="B40">
        <v>122.2</v>
      </c>
      <c r="C40">
        <v>0.09</v>
      </c>
      <c r="D40">
        <v>22.22</v>
      </c>
      <c r="E40">
        <f t="shared" si="1"/>
        <v>14.419999999999998</v>
      </c>
      <c r="F40">
        <v>130.72999999999999</v>
      </c>
      <c r="G40">
        <f t="shared" si="2"/>
        <v>10.997999999999999</v>
      </c>
      <c r="H40" s="9">
        <f t="shared" si="21"/>
        <v>15.116485999999998</v>
      </c>
      <c r="I40">
        <v>143.80000000000001</v>
      </c>
      <c r="J40">
        <v>0.09</v>
      </c>
      <c r="K40">
        <f t="shared" si="4"/>
        <v>12.942</v>
      </c>
      <c r="L40">
        <v>35.619999999999997</v>
      </c>
      <c r="M40">
        <f>L40-D40</f>
        <v>13.399999999999999</v>
      </c>
      <c r="N40">
        <v>136.26</v>
      </c>
      <c r="O40" s="9">
        <f t="shared" si="22"/>
        <v>14.047219999999999</v>
      </c>
      <c r="P40">
        <v>182.5</v>
      </c>
      <c r="Q40">
        <v>0.11</v>
      </c>
      <c r="R40">
        <f t="shared" si="6"/>
        <v>20.074999999999999</v>
      </c>
      <c r="S40">
        <f t="shared" si="7"/>
        <v>25.950000000000003</v>
      </c>
      <c r="T40">
        <v>61.57</v>
      </c>
      <c r="U40" s="9">
        <f t="shared" si="23"/>
        <v>27.203385000000004</v>
      </c>
      <c r="V40">
        <v>129.37</v>
      </c>
      <c r="W40">
        <v>181.9</v>
      </c>
      <c r="X40">
        <v>0.09</v>
      </c>
      <c r="Y40">
        <f t="shared" si="9"/>
        <v>16.370999999999999</v>
      </c>
      <c r="Z40">
        <f>AA40-T40</f>
        <v>7.6499999999999986</v>
      </c>
      <c r="AA40">
        <v>69.22</v>
      </c>
      <c r="AB40" s="9">
        <f t="shared" si="24"/>
        <v>8.0194949999999992</v>
      </c>
      <c r="AC40">
        <v>108.4</v>
      </c>
      <c r="AD40">
        <f t="shared" si="11"/>
        <v>16.370999999999999</v>
      </c>
      <c r="AE40">
        <f t="shared" si="12"/>
        <v>2.1011856423582915</v>
      </c>
      <c r="AF40">
        <f>V40/(W40*X40)</f>
        <v>7.9023883696780901</v>
      </c>
      <c r="AG40">
        <v>36</v>
      </c>
      <c r="AI40">
        <f t="shared" si="0"/>
        <v>88.986207024725786</v>
      </c>
      <c r="AJ40">
        <f t="shared" si="25"/>
        <v>72.563326000000004</v>
      </c>
      <c r="AK40">
        <v>37</v>
      </c>
      <c r="AL40" s="1">
        <f t="shared" si="14"/>
        <v>69.22</v>
      </c>
      <c r="AM40" s="2">
        <f>B40*C40+I40*J40+P40*Q40+W40*X40</f>
        <v>60.385999999999996</v>
      </c>
      <c r="AO40">
        <f>D40-B40*C40-AR$2-AS$2*C40-AT$2*C40*C40</f>
        <v>1.8199999999999998</v>
      </c>
      <c r="AP40">
        <f t="shared" si="15"/>
        <v>2.0465903491735542</v>
      </c>
    </row>
    <row r="41" spans="1:42">
      <c r="A41">
        <v>38</v>
      </c>
      <c r="B41">
        <v>121.7</v>
      </c>
      <c r="C41">
        <v>0.08</v>
      </c>
      <c r="D41">
        <v>20.97</v>
      </c>
      <c r="E41">
        <f t="shared" si="1"/>
        <v>13.169999999999998</v>
      </c>
      <c r="F41">
        <v>124.67</v>
      </c>
      <c r="G41">
        <f t="shared" si="2"/>
        <v>9.7360000000000007</v>
      </c>
      <c r="H41" s="9">
        <f t="shared" si="21"/>
        <v>13.806110999999998</v>
      </c>
      <c r="I41">
        <v>143.4</v>
      </c>
      <c r="J41">
        <v>0.09</v>
      </c>
      <c r="K41">
        <f t="shared" si="4"/>
        <v>12.906000000000001</v>
      </c>
      <c r="L41">
        <v>32.450000000000003</v>
      </c>
      <c r="M41">
        <f>L41-D41</f>
        <v>11.480000000000004</v>
      </c>
      <c r="N41">
        <v>125.36</v>
      </c>
      <c r="O41" s="9">
        <f t="shared" si="22"/>
        <v>12.034484000000004</v>
      </c>
      <c r="P41">
        <v>182</v>
      </c>
      <c r="Q41">
        <v>0.1</v>
      </c>
      <c r="R41">
        <f t="shared" si="6"/>
        <v>18.2</v>
      </c>
      <c r="S41">
        <f t="shared" si="7"/>
        <v>23.839999999999996</v>
      </c>
      <c r="T41">
        <v>56.29</v>
      </c>
      <c r="U41" s="9">
        <f t="shared" si="23"/>
        <v>24.991471999999995</v>
      </c>
      <c r="V41">
        <v>120.11</v>
      </c>
      <c r="W41">
        <v>181.4</v>
      </c>
      <c r="X41">
        <v>0.08</v>
      </c>
      <c r="Y41">
        <f t="shared" si="9"/>
        <v>14.512</v>
      </c>
      <c r="Z41">
        <f>AA41-T41</f>
        <v>8.6100000000000065</v>
      </c>
      <c r="AA41">
        <v>64.900000000000006</v>
      </c>
      <c r="AB41" s="9">
        <f t="shared" si="24"/>
        <v>9.0258630000000064</v>
      </c>
      <c r="AC41">
        <v>103.6</v>
      </c>
      <c r="AD41">
        <f t="shared" si="11"/>
        <v>14.512</v>
      </c>
      <c r="AE41">
        <f t="shared" si="12"/>
        <v>2.1337715402380528</v>
      </c>
      <c r="AF41">
        <f>V41/(W41*X41)</f>
        <v>8.2765986769570006</v>
      </c>
      <c r="AG41">
        <v>37</v>
      </c>
      <c r="AI41">
        <f t="shared" si="0"/>
        <v>81.431434035272233</v>
      </c>
      <c r="AJ41">
        <f t="shared" si="25"/>
        <v>68.034670000000006</v>
      </c>
      <c r="AK41">
        <v>38</v>
      </c>
      <c r="AL41" s="1">
        <f t="shared" si="14"/>
        <v>64.900000000000006</v>
      </c>
      <c r="AM41" s="2">
        <f>B41*C41+I41*J41+P41*Q41+W41*X41</f>
        <v>55.353999999999999</v>
      </c>
      <c r="AO41">
        <f>D41-B41*C41-AR$2-AS$2*C41-AT$2*C41*C41</f>
        <v>2.025999999999998</v>
      </c>
      <c r="AP41">
        <f t="shared" si="15"/>
        <v>2.6784298037190029</v>
      </c>
    </row>
    <row r="42" spans="1:42">
      <c r="A42">
        <v>39</v>
      </c>
      <c r="B42">
        <v>121.3</v>
      </c>
      <c r="C42">
        <v>0.08</v>
      </c>
      <c r="D42">
        <v>19.68</v>
      </c>
      <c r="E42">
        <f t="shared" si="1"/>
        <v>11.879999999999999</v>
      </c>
      <c r="F42">
        <v>118.61</v>
      </c>
      <c r="G42">
        <f t="shared" si="2"/>
        <v>9.7040000000000006</v>
      </c>
      <c r="H42" s="9">
        <f t="shared" si="21"/>
        <v>12.453804</v>
      </c>
      <c r="I42">
        <v>142.5</v>
      </c>
      <c r="J42">
        <v>0.08</v>
      </c>
      <c r="K42">
        <f t="shared" si="4"/>
        <v>11.4</v>
      </c>
      <c r="L42">
        <v>30.2</v>
      </c>
      <c r="M42">
        <f>L42-D42</f>
        <v>10.52</v>
      </c>
      <c r="N42">
        <v>119.31</v>
      </c>
      <c r="O42" s="9">
        <f t="shared" si="22"/>
        <v>11.028115999999999</v>
      </c>
      <c r="P42">
        <v>181</v>
      </c>
      <c r="Q42">
        <v>0.09</v>
      </c>
      <c r="R42">
        <f t="shared" si="6"/>
        <v>16.29</v>
      </c>
      <c r="S42">
        <f t="shared" si="7"/>
        <v>21.040000000000003</v>
      </c>
      <c r="T42">
        <v>51.24</v>
      </c>
      <c r="U42" s="9">
        <f t="shared" si="23"/>
        <v>22.056232000000001</v>
      </c>
      <c r="V42">
        <v>110.86</v>
      </c>
      <c r="W42">
        <v>181</v>
      </c>
      <c r="X42">
        <v>0.08</v>
      </c>
      <c r="Y42">
        <f t="shared" si="9"/>
        <v>14.48</v>
      </c>
      <c r="Z42">
        <f>AA42-T42</f>
        <v>7.6999999999999957</v>
      </c>
      <c r="AA42">
        <v>58.94</v>
      </c>
      <c r="AB42" s="9">
        <f t="shared" si="24"/>
        <v>8.0719099999999955</v>
      </c>
      <c r="AC42">
        <v>103.6</v>
      </c>
      <c r="AD42">
        <f t="shared" si="11"/>
        <v>14.48</v>
      </c>
      <c r="AE42">
        <f t="shared" si="12"/>
        <v>2.1635441061670568</v>
      </c>
      <c r="AF42">
        <f>V42/(W42*X42)</f>
        <v>7.6560773480662982</v>
      </c>
      <c r="AG42">
        <v>38</v>
      </c>
      <c r="AI42">
        <f t="shared" si="0"/>
        <v>72.062759536784142</v>
      </c>
      <c r="AJ42">
        <f t="shared" si="25"/>
        <v>61.786802000000002</v>
      </c>
      <c r="AK42">
        <v>39</v>
      </c>
      <c r="AL42" s="1">
        <f t="shared" si="14"/>
        <v>58.94</v>
      </c>
      <c r="AM42" s="2">
        <f>B42*C42+I42*J42+P42*Q42+W42*X42</f>
        <v>51.873999999999995</v>
      </c>
      <c r="AO42">
        <f>D42-B42*C42-AR$2-AS$2*C42-AT$2*C42*C42</f>
        <v>0.76799999999999924</v>
      </c>
      <c r="AP42">
        <f t="shared" si="15"/>
        <v>0.14333107644628063</v>
      </c>
    </row>
    <row r="43" spans="1:42">
      <c r="A43">
        <v>40</v>
      </c>
      <c r="B43">
        <v>120.9</v>
      </c>
      <c r="C43">
        <v>7.0000000000000007E-2</v>
      </c>
      <c r="D43">
        <v>18.72</v>
      </c>
      <c r="E43">
        <f t="shared" si="1"/>
        <v>10.919999999999998</v>
      </c>
      <c r="F43">
        <v>112.55</v>
      </c>
      <c r="G43">
        <f t="shared" si="2"/>
        <v>8.463000000000001</v>
      </c>
      <c r="H43" s="9">
        <f t="shared" si="21"/>
        <v>11.447435999999998</v>
      </c>
      <c r="I43">
        <v>142.1</v>
      </c>
      <c r="J43">
        <v>7.0000000000000007E-2</v>
      </c>
      <c r="K43">
        <f t="shared" si="4"/>
        <v>9.947000000000001</v>
      </c>
      <c r="L43">
        <v>28.57</v>
      </c>
      <c r="M43">
        <f>L43-D43</f>
        <v>9.8500000000000014</v>
      </c>
      <c r="N43">
        <v>109.02</v>
      </c>
      <c r="O43" s="9">
        <f t="shared" ref="O43:O46" si="26">M43*1.0483</f>
        <v>10.325755000000001</v>
      </c>
      <c r="P43">
        <v>180</v>
      </c>
      <c r="Q43">
        <v>0.08</v>
      </c>
      <c r="R43">
        <f t="shared" si="6"/>
        <v>14.4</v>
      </c>
      <c r="S43">
        <f t="shared" si="7"/>
        <v>18.07</v>
      </c>
      <c r="T43">
        <v>46.64</v>
      </c>
      <c r="U43" s="9">
        <f t="shared" si="23"/>
        <v>18.942781</v>
      </c>
      <c r="V43">
        <v>106.23</v>
      </c>
      <c r="W43">
        <v>181</v>
      </c>
      <c r="X43">
        <v>0.08</v>
      </c>
      <c r="Y43">
        <f t="shared" si="9"/>
        <v>14.48</v>
      </c>
      <c r="Z43">
        <f>AA43-T43</f>
        <v>8.4600000000000009</v>
      </c>
      <c r="AA43">
        <v>55.1</v>
      </c>
      <c r="AB43" s="9">
        <f t="shared" si="24"/>
        <v>8.8686180000000014</v>
      </c>
      <c r="AC43">
        <v>103.6</v>
      </c>
      <c r="AD43">
        <f t="shared" si="11"/>
        <v>14.48</v>
      </c>
      <c r="AE43">
        <f t="shared" si="12"/>
        <v>2.2776586620926245</v>
      </c>
      <c r="AF43">
        <f>V43/(W43*X43)</f>
        <v>7.3363259668508292</v>
      </c>
      <c r="AG43">
        <v>39</v>
      </c>
      <c r="AI43">
        <f t="shared" si="0"/>
        <v>65.539453080986988</v>
      </c>
      <c r="AJ43">
        <f>AA43*1.0483</f>
        <v>57.761330000000001</v>
      </c>
      <c r="AK43">
        <v>40</v>
      </c>
      <c r="AL43" s="1">
        <f t="shared" si="14"/>
        <v>55.1</v>
      </c>
      <c r="AM43" s="2">
        <f>B43*C43+I43*J43+P43*Q43+W43*X43</f>
        <v>47.290000000000006</v>
      </c>
      <c r="AO43">
        <f>D43-B43*C43-AR$2-AS$2*C43-AT$2*C43*C43</f>
        <v>1.2389999999999979</v>
      </c>
      <c r="AP43">
        <f t="shared" si="15"/>
        <v>0.72180471280991432</v>
      </c>
    </row>
    <row r="44" spans="1:42">
      <c r="A44">
        <v>41</v>
      </c>
      <c r="B44">
        <v>120.5</v>
      </c>
      <c r="C44">
        <v>7.0000000000000007E-2</v>
      </c>
      <c r="D44">
        <v>18.29</v>
      </c>
      <c r="E44">
        <f t="shared" si="1"/>
        <v>10.489999999999998</v>
      </c>
      <c r="F44">
        <v>112.55</v>
      </c>
      <c r="G44">
        <f t="shared" si="2"/>
        <v>8.4350000000000005</v>
      </c>
      <c r="H44" s="9">
        <f t="shared" si="21"/>
        <v>10.996666999999999</v>
      </c>
      <c r="I44">
        <v>141.5</v>
      </c>
      <c r="J44">
        <v>7.0000000000000007E-2</v>
      </c>
      <c r="K44">
        <f t="shared" si="4"/>
        <v>9.9050000000000011</v>
      </c>
      <c r="L44">
        <v>27.54</v>
      </c>
      <c r="M44">
        <f>L44-D44</f>
        <v>9.25</v>
      </c>
      <c r="N44">
        <v>103.59</v>
      </c>
      <c r="O44" s="9">
        <f t="shared" si="26"/>
        <v>9.6967750000000006</v>
      </c>
      <c r="P44">
        <v>179.4</v>
      </c>
      <c r="Q44">
        <v>7.0000000000000007E-2</v>
      </c>
      <c r="R44">
        <f t="shared" si="6"/>
        <v>12.558000000000002</v>
      </c>
      <c r="S44">
        <f t="shared" si="7"/>
        <v>15.399999999999999</v>
      </c>
      <c r="T44">
        <v>42.94</v>
      </c>
      <c r="U44" s="9">
        <f t="shared" si="23"/>
        <v>16.143819999999998</v>
      </c>
      <c r="V44">
        <v>101.6</v>
      </c>
      <c r="W44">
        <v>181</v>
      </c>
      <c r="X44">
        <v>0.08</v>
      </c>
      <c r="Y44">
        <f t="shared" si="9"/>
        <v>14.48</v>
      </c>
      <c r="Z44">
        <f>AA44-T44</f>
        <v>11.32</v>
      </c>
      <c r="AA44">
        <v>54.26</v>
      </c>
      <c r="AB44" s="9">
        <f t="shared" si="24"/>
        <v>11.866756000000001</v>
      </c>
      <c r="AC44">
        <v>103.6</v>
      </c>
      <c r="AD44">
        <f t="shared" si="11"/>
        <v>14.48</v>
      </c>
      <c r="AE44">
        <f t="shared" si="12"/>
        <v>2.366092221704704</v>
      </c>
      <c r="AF44">
        <f>V44/(W44*X44)</f>
        <v>7.0165745856353583</v>
      </c>
      <c r="AG44">
        <v>40</v>
      </c>
      <c r="AI44">
        <f t="shared" si="0"/>
        <v>62.687152948736006</v>
      </c>
      <c r="AJ44">
        <f>AA44*1.0483</f>
        <v>56.880758</v>
      </c>
      <c r="AK44">
        <v>41</v>
      </c>
      <c r="AL44" s="1">
        <f t="shared" si="14"/>
        <v>54.26</v>
      </c>
      <c r="AM44" s="2">
        <f>B44*C44+I44*J44+P44*Q44+W44*X44</f>
        <v>45.378</v>
      </c>
      <c r="AO44">
        <f>D44-B44*C44-AR$2-AS$2*C44-AT$2*C44*C44</f>
        <v>0.83699999999999875</v>
      </c>
      <c r="AP44">
        <f t="shared" si="15"/>
        <v>0.20033762190082555</v>
      </c>
    </row>
    <row r="45" spans="1:42">
      <c r="A45">
        <v>42</v>
      </c>
      <c r="B45">
        <v>120.5</v>
      </c>
      <c r="C45">
        <v>7.0000000000000007E-2</v>
      </c>
      <c r="D45">
        <v>17.62</v>
      </c>
      <c r="E45">
        <f t="shared" si="1"/>
        <v>9.82</v>
      </c>
      <c r="F45">
        <v>106.05</v>
      </c>
      <c r="G45">
        <f t="shared" si="2"/>
        <v>8.4350000000000005</v>
      </c>
      <c r="H45" s="9">
        <f t="shared" si="21"/>
        <v>10.294306000000001</v>
      </c>
      <c r="I45">
        <v>141.5</v>
      </c>
      <c r="J45">
        <v>7.0000000000000007E-2</v>
      </c>
      <c r="K45">
        <f t="shared" si="4"/>
        <v>9.9050000000000011</v>
      </c>
      <c r="L45">
        <v>26.84</v>
      </c>
      <c r="M45">
        <f>L45-D45</f>
        <v>9.2199999999999989</v>
      </c>
      <c r="N45">
        <v>98.14</v>
      </c>
      <c r="O45" s="9">
        <f t="shared" si="26"/>
        <v>9.6653259999999985</v>
      </c>
      <c r="P45">
        <v>179.4</v>
      </c>
      <c r="Q45">
        <v>7.0000000000000007E-2</v>
      </c>
      <c r="R45">
        <f t="shared" si="6"/>
        <v>12.558000000000002</v>
      </c>
      <c r="S45">
        <f t="shared" si="7"/>
        <v>13.849999999999998</v>
      </c>
      <c r="T45">
        <v>40.69</v>
      </c>
      <c r="U45" s="9">
        <f t="shared" si="23"/>
        <v>14.518954999999998</v>
      </c>
      <c r="V45">
        <v>101.6</v>
      </c>
      <c r="W45">
        <v>181</v>
      </c>
      <c r="X45">
        <v>0.08</v>
      </c>
      <c r="Y45">
        <f t="shared" si="9"/>
        <v>14.48</v>
      </c>
      <c r="Z45">
        <f>AA45-T45</f>
        <v>13.550000000000004</v>
      </c>
      <c r="AA45">
        <v>54.24</v>
      </c>
      <c r="AB45" s="9">
        <f t="shared" si="24"/>
        <v>14.204465000000004</v>
      </c>
      <c r="AC45">
        <v>103.6</v>
      </c>
      <c r="AD45">
        <f t="shared" si="11"/>
        <v>14.48</v>
      </c>
      <c r="AE45">
        <f t="shared" si="12"/>
        <v>2.4969279921356597</v>
      </c>
      <c r="AF45">
        <f>V45/(W45*X45)</f>
        <v>7.0165745856353583</v>
      </c>
      <c r="AG45">
        <v>41</v>
      </c>
      <c r="AI45">
        <f t="shared" si="0"/>
        <v>60.766338094901606</v>
      </c>
      <c r="AJ45">
        <f t="shared" ref="AJ45:AJ47" si="27">AA45*1.0483</f>
        <v>56.859792000000006</v>
      </c>
      <c r="AK45">
        <v>42</v>
      </c>
      <c r="AL45" s="1">
        <f t="shared" si="14"/>
        <v>54.24</v>
      </c>
      <c r="AM45" s="2">
        <f>B45*C45+I45*J45+P45*Q45+W45*X45</f>
        <v>45.378</v>
      </c>
      <c r="AO45">
        <f>D45-B45*C45-AR$2-AS$2*C45-AT$2*C45*C45</f>
        <v>0.16700000000000054</v>
      </c>
      <c r="AP45">
        <f t="shared" si="15"/>
        <v>4.9465803719007911E-2</v>
      </c>
    </row>
    <row r="46" spans="1:42">
      <c r="A46">
        <v>43</v>
      </c>
      <c r="B46">
        <v>120.5</v>
      </c>
      <c r="C46">
        <v>7.0000000000000007E-2</v>
      </c>
      <c r="D46">
        <v>17.64</v>
      </c>
      <c r="E46">
        <f t="shared" si="1"/>
        <v>9.84</v>
      </c>
      <c r="F46">
        <v>106.05</v>
      </c>
      <c r="G46">
        <f t="shared" si="2"/>
        <v>8.4350000000000005</v>
      </c>
      <c r="H46" s="9">
        <f t="shared" si="21"/>
        <v>10.315272</v>
      </c>
      <c r="I46">
        <v>141.5</v>
      </c>
      <c r="J46">
        <v>7.0000000000000007E-2</v>
      </c>
      <c r="K46">
        <f t="shared" si="4"/>
        <v>9.9050000000000011</v>
      </c>
      <c r="L46">
        <v>26.68</v>
      </c>
      <c r="M46">
        <f>L46-D46</f>
        <v>9.0399999999999991</v>
      </c>
      <c r="N46">
        <v>92.7</v>
      </c>
      <c r="O46" s="9">
        <f t="shared" si="26"/>
        <v>9.4766319999999986</v>
      </c>
      <c r="P46">
        <v>179.4</v>
      </c>
      <c r="Q46">
        <v>7.0000000000000007E-2</v>
      </c>
      <c r="R46">
        <f t="shared" si="6"/>
        <v>12.558000000000002</v>
      </c>
      <c r="S46">
        <f t="shared" si="7"/>
        <v>13.579999999999998</v>
      </c>
      <c r="T46">
        <v>40.26</v>
      </c>
      <c r="U46" s="9">
        <f t="shared" si="23"/>
        <v>14.235913999999998</v>
      </c>
      <c r="V46">
        <v>101.6</v>
      </c>
      <c r="W46">
        <v>181</v>
      </c>
      <c r="X46">
        <v>0.08</v>
      </c>
      <c r="Y46">
        <f t="shared" si="9"/>
        <v>14.48</v>
      </c>
      <c r="Z46">
        <f>AA46-T46</f>
        <v>13.980000000000004</v>
      </c>
      <c r="AA46">
        <v>54.24</v>
      </c>
      <c r="AB46" s="9">
        <f t="shared" si="24"/>
        <v>14.655234000000004</v>
      </c>
      <c r="AC46">
        <v>103.6</v>
      </c>
      <c r="AD46">
        <f t="shared" si="11"/>
        <v>14.48</v>
      </c>
      <c r="AE46">
        <f t="shared" si="12"/>
        <v>2.5235966219572776</v>
      </c>
      <c r="AF46">
        <f>V46/(W46*X46)</f>
        <v>7.0165745856353583</v>
      </c>
      <c r="AG46">
        <v>42</v>
      </c>
      <c r="AI46">
        <f t="shared" si="0"/>
        <v>58.830803447986476</v>
      </c>
      <c r="AJ46">
        <f t="shared" si="27"/>
        <v>56.859792000000006</v>
      </c>
      <c r="AK46">
        <v>43</v>
      </c>
      <c r="AL46" s="1">
        <f t="shared" si="14"/>
        <v>54.24</v>
      </c>
      <c r="AM46" s="2">
        <f>B46*C46+I46*J46+P46*Q46+W46*X46</f>
        <v>45.378</v>
      </c>
      <c r="AO46">
        <f>D46-B46*C46-AR$2-AS$2*C46-AT$2*C46*C46</f>
        <v>0.18700000000000011</v>
      </c>
      <c r="AP46">
        <f t="shared" si="15"/>
        <v>4.0969440082644477E-2</v>
      </c>
    </row>
    <row r="47" spans="1:42">
      <c r="A47">
        <v>44</v>
      </c>
      <c r="B47">
        <v>120.5</v>
      </c>
      <c r="C47">
        <v>7.0000000000000007E-2</v>
      </c>
      <c r="D47">
        <v>17.64</v>
      </c>
      <c r="E47">
        <f t="shared" si="1"/>
        <v>9.84</v>
      </c>
      <c r="F47">
        <v>106.05</v>
      </c>
      <c r="G47">
        <f t="shared" si="2"/>
        <v>8.4350000000000005</v>
      </c>
      <c r="H47" s="9">
        <f>E47*1.0483</f>
        <v>10.315272</v>
      </c>
      <c r="I47">
        <v>141.5</v>
      </c>
      <c r="J47">
        <v>7.0000000000000007E-2</v>
      </c>
      <c r="K47">
        <f t="shared" si="4"/>
        <v>9.9050000000000011</v>
      </c>
      <c r="L47">
        <v>26.69</v>
      </c>
      <c r="M47">
        <f>L47-D47</f>
        <v>9.0500000000000007</v>
      </c>
      <c r="N47">
        <v>92.7</v>
      </c>
      <c r="O47" s="9">
        <f>M47*1.0483</f>
        <v>9.4871150000000011</v>
      </c>
      <c r="P47">
        <v>179.4</v>
      </c>
      <c r="Q47">
        <v>7.0000000000000007E-2</v>
      </c>
      <c r="R47">
        <f t="shared" si="6"/>
        <v>12.558000000000002</v>
      </c>
      <c r="S47">
        <f t="shared" si="7"/>
        <v>12.969999999999995</v>
      </c>
      <c r="T47">
        <v>39.659999999999997</v>
      </c>
      <c r="U47" s="9">
        <f>S47*1.0483</f>
        <v>13.596450999999995</v>
      </c>
      <c r="V47">
        <v>101.6</v>
      </c>
      <c r="W47">
        <v>181</v>
      </c>
      <c r="X47">
        <v>0.08</v>
      </c>
      <c r="Y47">
        <f t="shared" si="9"/>
        <v>14.48</v>
      </c>
      <c r="Z47">
        <f>AA47-T47</f>
        <v>14.580000000000005</v>
      </c>
      <c r="AA47">
        <v>54.24</v>
      </c>
      <c r="AB47" s="9">
        <f>Z47*1.0483</f>
        <v>15.284214000000006</v>
      </c>
      <c r="AC47">
        <v>103.6</v>
      </c>
      <c r="AD47">
        <f t="shared" si="11"/>
        <v>14.48</v>
      </c>
      <c r="AE47">
        <f t="shared" si="12"/>
        <v>2.5617750882501262</v>
      </c>
      <c r="AF47">
        <f>V47/(W47*X47)</f>
        <v>7.0165745856353583</v>
      </c>
      <c r="AG47">
        <v>43</v>
      </c>
      <c r="AI47">
        <f>AA47*1.524*EXP(-(AG47-21.5)*(AG47-21.5)*0.00080926)</f>
        <v>56.864808266338763</v>
      </c>
      <c r="AJ47">
        <f t="shared" si="27"/>
        <v>56.859792000000006</v>
      </c>
      <c r="AK47">
        <v>44</v>
      </c>
      <c r="AL47" s="1">
        <f t="shared" si="14"/>
        <v>54.24</v>
      </c>
      <c r="AM47" s="2">
        <f>B47*C47+I47*J47+P47*Q47+W47*X47</f>
        <v>45.378</v>
      </c>
      <c r="AO47">
        <f>D47-B47*C47-AR$2-AS$2*C47-AT$2*C47*C47</f>
        <v>0.18700000000000011</v>
      </c>
      <c r="AP47">
        <f t="shared" si="15"/>
        <v>4.0969440082644477E-2</v>
      </c>
    </row>
    <row r="48" spans="1:42">
      <c r="E48">
        <f>SUM(E4:E47)</f>
        <v>946.55000000000007</v>
      </c>
      <c r="F48">
        <f>AVERAGE(F4:F47)</f>
        <v>207.76136363636354</v>
      </c>
      <c r="G48">
        <f>SUM(G4:G47)</f>
        <v>807.3399999999998</v>
      </c>
      <c r="H48" s="9">
        <f>SUM(H4:H47)</f>
        <v>1202.861097376307</v>
      </c>
      <c r="K48">
        <f>SUM(K4:K47)</f>
        <v>1019.0550000000001</v>
      </c>
      <c r="M48">
        <f>SUM(M4:M47)</f>
        <v>1019.7299999999999</v>
      </c>
      <c r="N48">
        <f>AVERAGE(N4:N47)</f>
        <v>199.96318181818188</v>
      </c>
      <c r="O48" s="10">
        <f>SUM(O4:O47)</f>
        <v>1313.2150053019582</v>
      </c>
      <c r="R48">
        <f>SUM(R4:R47)</f>
        <v>1475.7140000000002</v>
      </c>
      <c r="S48">
        <f>SUM(S4:S47)</f>
        <v>1647.2499999999998</v>
      </c>
      <c r="U48" s="9">
        <f>SUM(U4:U47)</f>
        <v>2095.0005343371017</v>
      </c>
      <c r="V48">
        <f>AVERAGE(V4:V47)</f>
        <v>207.9727272727273</v>
      </c>
      <c r="Y48">
        <f>SUM(Y4:Y47)</f>
        <v>1327.9200000000003</v>
      </c>
      <c r="Z48">
        <f>SUM(Z4:Z47)</f>
        <v>1243.58</v>
      </c>
      <c r="AA48">
        <f>SUM(AA4:AA47)</f>
        <v>5200.3099999999986</v>
      </c>
      <c r="AB48" s="9">
        <f>SUM(AB4:AB47)</f>
        <v>1616.5660340346383</v>
      </c>
      <c r="AC48">
        <f>AVERAGE(AC4:AC47)</f>
        <v>193.23386363636365</v>
      </c>
      <c r="AI48">
        <f>SUM(AI4:AI47)</f>
        <v>7287.5479449937438</v>
      </c>
      <c r="AJ48">
        <f>SUM(AJ4:AJ47)</f>
        <v>6637.0677004562722</v>
      </c>
      <c r="AO48">
        <f>AVERAGE(AO4:AO47)</f>
        <v>0.38940909090909065</v>
      </c>
      <c r="AP48">
        <f>SUM(AP4:AP47)</f>
        <v>145.99897663636372</v>
      </c>
    </row>
    <row r="53" spans="2:15">
      <c r="B53" s="16" t="s">
        <v>20</v>
      </c>
      <c r="C53" s="16"/>
      <c r="D53" s="16"/>
      <c r="E53" s="13"/>
      <c r="F53" s="4" t="s">
        <v>0</v>
      </c>
      <c r="G53" s="5"/>
      <c r="M53" t="s">
        <v>21</v>
      </c>
      <c r="N53" t="s">
        <v>22</v>
      </c>
      <c r="O53" t="s">
        <v>23</v>
      </c>
    </row>
    <row r="54" spans="2:15">
      <c r="B54" s="3"/>
      <c r="C54" s="3"/>
      <c r="D54" s="3" t="s">
        <v>24</v>
      </c>
      <c r="E54" s="4" t="s">
        <v>25</v>
      </c>
      <c r="F54" s="6" t="s">
        <v>26</v>
      </c>
      <c r="G54" s="5" t="s">
        <v>27</v>
      </c>
      <c r="M54">
        <f>O54/N54</f>
        <v>0.27272727272727271</v>
      </c>
      <c r="N54">
        <v>44</v>
      </c>
      <c r="O54">
        <v>12</v>
      </c>
    </row>
    <row r="55" spans="2:15">
      <c r="B55" s="3" t="s">
        <v>28</v>
      </c>
      <c r="C55" s="3"/>
      <c r="D55" s="3">
        <f>(H48/AJ48)*100</f>
        <v>18.12338146398017</v>
      </c>
      <c r="E55" s="11">
        <f>H48*M54</f>
        <v>328.05302655717463</v>
      </c>
      <c r="F55" s="6">
        <f>24.98*M54*44</f>
        <v>299.76</v>
      </c>
      <c r="G55" s="7">
        <f>(E55-F55)/E55*100</f>
        <v>8.6245284349612916</v>
      </c>
      <c r="H55" s="8"/>
    </row>
    <row r="56" spans="2:15">
      <c r="B56" s="3" t="s">
        <v>29</v>
      </c>
      <c r="C56" s="3"/>
      <c r="D56" s="3">
        <f>O48/AJ48*100</f>
        <v>19.786072171776699</v>
      </c>
      <c r="E56" s="11">
        <f>O48 *M54</f>
        <v>358.14954690053401</v>
      </c>
      <c r="F56" s="6">
        <f>25.25*M54*44</f>
        <v>303</v>
      </c>
      <c r="G56" s="7">
        <f t="shared" ref="G56:G58" si="28">(E56-F56)/E56*100</f>
        <v>15.398468985317534</v>
      </c>
      <c r="H56" s="8"/>
    </row>
    <row r="57" spans="2:15">
      <c r="B57" s="3" t="s">
        <v>30</v>
      </c>
      <c r="C57" s="3"/>
      <c r="D57" s="3">
        <f>U48/AJ48*100</f>
        <v>31.565152396939972</v>
      </c>
      <c r="E57" s="11">
        <f>U48*M54</f>
        <v>571.36378209193674</v>
      </c>
      <c r="F57" s="6">
        <f>33.76*M54*44</f>
        <v>405.11999999999989</v>
      </c>
      <c r="G57" s="7">
        <f t="shared" si="28"/>
        <v>29.095960805087746</v>
      </c>
      <c r="H57" s="8"/>
    </row>
    <row r="58" spans="2:15">
      <c r="B58" s="3" t="s">
        <v>31</v>
      </c>
      <c r="C58" s="3"/>
      <c r="D58" s="3">
        <f>AB48/AJ48*100</f>
        <v>24.35663017153653</v>
      </c>
      <c r="E58" s="11">
        <f>AB48*M54</f>
        <v>440.88164564581041</v>
      </c>
      <c r="F58" s="6">
        <f>27.87*M54*44</f>
        <v>334.44</v>
      </c>
      <c r="G58" s="7">
        <f t="shared" si="28"/>
        <v>24.142906990354067</v>
      </c>
      <c r="H58" s="8"/>
    </row>
    <row r="59" spans="2:15">
      <c r="B59" s="13" t="s">
        <v>32</v>
      </c>
      <c r="C59" s="14"/>
      <c r="D59" s="3">
        <f>100-SUM(D55:D58)</f>
        <v>6.1687637957666368</v>
      </c>
      <c r="E59" s="11">
        <f>AJ48*M54-SUM(E55:E58)</f>
        <v>111.66137165625491</v>
      </c>
      <c r="F59" s="6"/>
      <c r="G59" s="7"/>
      <c r="H59" s="8"/>
    </row>
    <row r="60" spans="2:15">
      <c r="B60" s="3"/>
      <c r="C60" s="3" t="s">
        <v>33</v>
      </c>
      <c r="D60" s="3">
        <v>100</v>
      </c>
      <c r="E60" s="11">
        <f>SUM(E55:E59)</f>
        <v>1810.1093728517105</v>
      </c>
      <c r="F60" s="6">
        <f>SUM(F55:F58)</f>
        <v>1342.32</v>
      </c>
      <c r="G60" s="7">
        <f>(E60-F60)/E60*100</f>
        <v>25.843155108066128</v>
      </c>
      <c r="H60" s="8"/>
    </row>
    <row r="61" spans="2:15">
      <c r="F61" t="s">
        <v>34</v>
      </c>
    </row>
    <row r="68" spans="1:18">
      <c r="J68" s="1" t="s">
        <v>35</v>
      </c>
      <c r="K68">
        <v>0.85</v>
      </c>
    </row>
    <row r="69" spans="1:18">
      <c r="F69" t="s">
        <v>36</v>
      </c>
      <c r="J69" s="1" t="s">
        <v>37</v>
      </c>
      <c r="K69" s="1"/>
      <c r="L69" s="1"/>
      <c r="M69" s="1"/>
      <c r="O69" s="1" t="s">
        <v>0</v>
      </c>
      <c r="P69" s="1"/>
      <c r="Q69" s="1"/>
      <c r="R69" s="1"/>
    </row>
    <row r="70" spans="1:18">
      <c r="A70" t="s">
        <v>38</v>
      </c>
      <c r="B70" t="s">
        <v>39</v>
      </c>
      <c r="C70" t="s">
        <v>40</v>
      </c>
      <c r="D70">
        <v>10</v>
      </c>
      <c r="E70" t="s">
        <v>37</v>
      </c>
      <c r="F70">
        <v>1.8700000000000001E-2</v>
      </c>
      <c r="G70">
        <v>1.8700000000000001E-2</v>
      </c>
      <c r="J70" t="s">
        <v>40</v>
      </c>
      <c r="K70" t="s">
        <v>41</v>
      </c>
      <c r="L70" t="s">
        <v>42</v>
      </c>
      <c r="M70" t="s">
        <v>43</v>
      </c>
      <c r="O70" t="s">
        <v>40</v>
      </c>
      <c r="P70" t="s">
        <v>41</v>
      </c>
      <c r="Q70" t="s">
        <v>42</v>
      </c>
      <c r="R70" t="s">
        <v>43</v>
      </c>
    </row>
    <row r="71" spans="1:18">
      <c r="A71" t="s">
        <v>38</v>
      </c>
      <c r="B71" t="s">
        <v>39</v>
      </c>
      <c r="C71" t="s">
        <v>40</v>
      </c>
      <c r="D71">
        <v>10</v>
      </c>
      <c r="E71" t="s">
        <v>37</v>
      </c>
      <c r="F71">
        <v>1.4700000000000001E-2</v>
      </c>
      <c r="G71">
        <v>1.9799999999999998E-2</v>
      </c>
      <c r="J71">
        <f xml:space="preserve"> MEDIAN(F70:F75)/3</f>
        <v>5.4666666666666674E-3</v>
      </c>
      <c r="K71">
        <f>MEDIAN(F76:F81)/3</f>
        <v>5.6666666666666671E-3</v>
      </c>
      <c r="L71">
        <f>MEDIAN(F82:F87)/3</f>
        <v>5.6833333333333328E-3</v>
      </c>
      <c r="M71">
        <f>MEDIAN(F88:F93)/3</f>
        <v>5.7166666666666659E-3</v>
      </c>
      <c r="O71">
        <f>MEDIAN(G70:G75)/3</f>
        <v>7.416666666666666E-3</v>
      </c>
      <c r="P71">
        <f>MEDIAN(G76:G81)/3</f>
        <v>4.8833333333333333E-3</v>
      </c>
      <c r="Q71">
        <f>MEDIAN(G82:G87)/3</f>
        <v>6.7499999999999991E-3</v>
      </c>
      <c r="R71">
        <f>MEDIAN(G88:G93)/3</f>
        <v>8.3666666666666663E-3</v>
      </c>
    </row>
    <row r="72" spans="1:18">
      <c r="A72" t="s">
        <v>38</v>
      </c>
      <c r="B72" t="s">
        <v>39</v>
      </c>
      <c r="C72" t="s">
        <v>40</v>
      </c>
      <c r="D72">
        <v>10</v>
      </c>
      <c r="E72" t="s">
        <v>37</v>
      </c>
      <c r="F72">
        <v>1.8200000000000001E-2</v>
      </c>
      <c r="G72">
        <v>2.3699999999999999E-2</v>
      </c>
    </row>
    <row r="73" spans="1:18">
      <c r="A73" t="s">
        <v>38</v>
      </c>
      <c r="B73" t="s">
        <v>44</v>
      </c>
      <c r="C73" t="s">
        <v>40</v>
      </c>
      <c r="D73">
        <v>10</v>
      </c>
      <c r="E73" t="s">
        <v>37</v>
      </c>
      <c r="F73">
        <v>1.7000000000000001E-2</v>
      </c>
      <c r="G73">
        <v>3.7900000000000003E-2</v>
      </c>
    </row>
    <row r="74" spans="1:18">
      <c r="A74" t="s">
        <v>38</v>
      </c>
      <c r="B74" t="s">
        <v>44</v>
      </c>
      <c r="C74" t="s">
        <v>40</v>
      </c>
      <c r="D74">
        <v>10</v>
      </c>
      <c r="E74" t="s">
        <v>37</v>
      </c>
      <c r="F74">
        <v>1.4999999999999999E-2</v>
      </c>
      <c r="G74">
        <v>2.0799999999999999E-2</v>
      </c>
    </row>
    <row r="75" spans="1:18">
      <c r="A75" t="s">
        <v>38</v>
      </c>
      <c r="B75" t="s">
        <v>44</v>
      </c>
      <c r="C75" t="s">
        <v>40</v>
      </c>
      <c r="D75">
        <v>10</v>
      </c>
      <c r="E75" t="s">
        <v>37</v>
      </c>
      <c r="F75">
        <v>1.5800000000000002E-2</v>
      </c>
      <c r="G75">
        <v>2.4399999999999998E-2</v>
      </c>
    </row>
    <row r="76" spans="1:18">
      <c r="A76" t="s">
        <v>38</v>
      </c>
      <c r="B76" t="s">
        <v>45</v>
      </c>
      <c r="C76" t="s">
        <v>41</v>
      </c>
      <c r="D76">
        <v>10</v>
      </c>
      <c r="E76" t="s">
        <v>37</v>
      </c>
      <c r="F76">
        <v>1.5800000000000002E-2</v>
      </c>
      <c r="G76">
        <v>1.2400000000000001E-2</v>
      </c>
    </row>
    <row r="77" spans="1:18">
      <c r="A77" t="s">
        <v>38</v>
      </c>
      <c r="B77" t="s">
        <v>45</v>
      </c>
      <c r="C77" t="s">
        <v>41</v>
      </c>
      <c r="D77">
        <v>10</v>
      </c>
      <c r="E77" t="s">
        <v>37</v>
      </c>
      <c r="F77">
        <v>1.7100000000000001E-2</v>
      </c>
      <c r="G77">
        <v>1.5599999999999999E-2</v>
      </c>
      <c r="J77" t="s">
        <v>46</v>
      </c>
    </row>
    <row r="78" spans="1:18">
      <c r="A78" t="s">
        <v>38</v>
      </c>
      <c r="B78" t="s">
        <v>45</v>
      </c>
      <c r="C78" t="s">
        <v>41</v>
      </c>
      <c r="D78">
        <v>10</v>
      </c>
      <c r="E78" t="s">
        <v>37</v>
      </c>
      <c r="F78">
        <v>1.6400000000000001E-2</v>
      </c>
      <c r="G78">
        <v>1.1900000000000001E-2</v>
      </c>
      <c r="J78">
        <f>E58*10/(0.45*0.55*1000)</f>
        <v>17.813399824073144</v>
      </c>
      <c r="K78">
        <f>E57*10/(0.45*0.55*1000)</f>
        <v>23.085405337047945</v>
      </c>
      <c r="L78">
        <f>E56*10/(0.45*0.55*1000)</f>
        <v>14.470688763657938</v>
      </c>
      <c r="M78">
        <f>E55*10/(0.45*0.55*1000)</f>
        <v>13.254667739683823</v>
      </c>
      <c r="O78">
        <f>F58*10/(0.45*0.55*1000)</f>
        <v>13.512727272727272</v>
      </c>
      <c r="P78">
        <f>F57*10/(0.45*0.55*1000)</f>
        <v>16.368484848484844</v>
      </c>
      <c r="Q78">
        <f>F56*10/(0.45*0.55*1000)</f>
        <v>12.24242424242424</v>
      </c>
      <c r="R78">
        <f>F55*10/(0.45*0.55*1000)</f>
        <v>12.11151515151515</v>
      </c>
    </row>
    <row r="79" spans="1:18">
      <c r="A79" t="s">
        <v>38</v>
      </c>
      <c r="B79" t="s">
        <v>47</v>
      </c>
      <c r="C79" t="s">
        <v>41</v>
      </c>
      <c r="D79">
        <v>10</v>
      </c>
      <c r="E79" t="s">
        <v>37</v>
      </c>
      <c r="F79">
        <v>1.83E-2</v>
      </c>
      <c r="G79">
        <v>1.37E-2</v>
      </c>
      <c r="J79" t="s">
        <v>48</v>
      </c>
    </row>
    <row r="80" spans="1:18">
      <c r="A80" t="s">
        <v>38</v>
      </c>
      <c r="B80" t="s">
        <v>47</v>
      </c>
      <c r="C80" t="s">
        <v>41</v>
      </c>
      <c r="D80">
        <v>10</v>
      </c>
      <c r="E80" t="s">
        <v>37</v>
      </c>
      <c r="F80">
        <v>1.6899999999999998E-2</v>
      </c>
      <c r="G80">
        <v>1.5800000000000002E-2</v>
      </c>
      <c r="J80">
        <f>J71*(480*K68)/(0.14*0.12)</f>
        <v>132.76190476190476</v>
      </c>
      <c r="K80">
        <f>K71*(480*K68)/(0.14*0.12)</f>
        <v>137.61904761904762</v>
      </c>
      <c r="L80">
        <f>L71*(480*K68)/(0.14*0.12)</f>
        <v>138.02380952380949</v>
      </c>
      <c r="M80">
        <f>M71*(480*K68)/(0.14*0.12)</f>
        <v>138.83333333333331</v>
      </c>
      <c r="O80">
        <f>O71*(480*K68)/(0.14*0.12)</f>
        <v>180.11904761904759</v>
      </c>
      <c r="P80">
        <f>P71*(480*K68)/(0.14*0.12)</f>
        <v>118.59523809523807</v>
      </c>
      <c r="Q80">
        <f>Q71*(480*K68)/(0.14*0.12)</f>
        <v>163.92857142857139</v>
      </c>
      <c r="R80">
        <f>R71*(480*K68)/(0.14*0.12)</f>
        <v>203.19047619047615</v>
      </c>
    </row>
    <row r="81" spans="1:18">
      <c r="A81" t="s">
        <v>38</v>
      </c>
      <c r="B81" t="s">
        <v>47</v>
      </c>
      <c r="C81" t="s">
        <v>41</v>
      </c>
      <c r="D81">
        <v>10</v>
      </c>
      <c r="E81" t="s">
        <v>37</v>
      </c>
      <c r="F81">
        <v>1.7600000000000001E-2</v>
      </c>
      <c r="G81">
        <v>1.9299999999999998E-2</v>
      </c>
      <c r="J81" t="s">
        <v>49</v>
      </c>
    </row>
    <row r="82" spans="1:18">
      <c r="A82" t="s">
        <v>38</v>
      </c>
      <c r="B82" t="s">
        <v>50</v>
      </c>
      <c r="C82" t="s">
        <v>42</v>
      </c>
      <c r="D82">
        <v>10</v>
      </c>
      <c r="E82" t="s">
        <v>37</v>
      </c>
      <c r="F82">
        <v>1.6899999999999998E-2</v>
      </c>
      <c r="G82">
        <v>1.7899999999999999E-2</v>
      </c>
      <c r="J82">
        <f>J78/J80</f>
        <v>0.13417553669495555</v>
      </c>
      <c r="K82">
        <f t="shared" ref="K82:M82" si="29">K78/K80</f>
        <v>0.16774862009619615</v>
      </c>
      <c r="L82">
        <f t="shared" si="29"/>
        <v>0.10484197482726126</v>
      </c>
      <c r="M82">
        <f t="shared" si="29"/>
        <v>9.547179644430126E-2</v>
      </c>
      <c r="O82">
        <f>O78/O80</f>
        <v>7.5021089947725772E-2</v>
      </c>
      <c r="P82">
        <f>P78/P80</f>
        <v>0.13801974776879414</v>
      </c>
      <c r="Q82">
        <f>Q78/Q80</f>
        <v>7.4681455073611944E-2</v>
      </c>
      <c r="R82">
        <f>R78/R80</f>
        <v>5.9606706862390016E-2</v>
      </c>
    </row>
    <row r="83" spans="1:18">
      <c r="A83" t="s">
        <v>38</v>
      </c>
      <c r="B83" t="s">
        <v>50</v>
      </c>
      <c r="C83" t="s">
        <v>42</v>
      </c>
      <c r="D83">
        <v>10</v>
      </c>
      <c r="E83" t="s">
        <v>37</v>
      </c>
      <c r="F83">
        <v>1.5800000000000002E-2</v>
      </c>
      <c r="G83">
        <v>1.9799999999999998E-2</v>
      </c>
    </row>
    <row r="84" spans="1:18">
      <c r="A84" t="s">
        <v>38</v>
      </c>
      <c r="B84" t="s">
        <v>50</v>
      </c>
      <c r="C84" t="s">
        <v>42</v>
      </c>
      <c r="D84">
        <v>10</v>
      </c>
      <c r="E84" t="s">
        <v>37</v>
      </c>
      <c r="F84">
        <v>1.77E-2</v>
      </c>
      <c r="G84">
        <v>2.0900000000000002E-2</v>
      </c>
    </row>
    <row r="85" spans="1:18">
      <c r="A85" t="s">
        <v>38</v>
      </c>
      <c r="B85" t="s">
        <v>51</v>
      </c>
      <c r="C85" t="s">
        <v>42</v>
      </c>
      <c r="D85">
        <v>10</v>
      </c>
      <c r="E85" t="s">
        <v>37</v>
      </c>
      <c r="F85">
        <v>1.72E-2</v>
      </c>
      <c r="G85">
        <v>2.07E-2</v>
      </c>
    </row>
    <row r="86" spans="1:18">
      <c r="A86" t="s">
        <v>38</v>
      </c>
      <c r="B86" t="s">
        <v>51</v>
      </c>
      <c r="C86" t="s">
        <v>42</v>
      </c>
      <c r="D86">
        <v>10</v>
      </c>
      <c r="E86" t="s">
        <v>37</v>
      </c>
      <c r="F86">
        <v>1.4800000000000001E-2</v>
      </c>
      <c r="G86">
        <v>2.1699999999999997E-2</v>
      </c>
    </row>
    <row r="87" spans="1:18">
      <c r="A87" t="s">
        <v>38</v>
      </c>
      <c r="B87" t="s">
        <v>51</v>
      </c>
      <c r="C87" t="s">
        <v>42</v>
      </c>
      <c r="D87">
        <v>10</v>
      </c>
      <c r="E87" t="s">
        <v>37</v>
      </c>
      <c r="F87">
        <v>1.77E-2</v>
      </c>
      <c r="G87">
        <v>1.77E-2</v>
      </c>
    </row>
    <row r="88" spans="1:18">
      <c r="A88" t="s">
        <v>38</v>
      </c>
      <c r="B88" t="s">
        <v>52</v>
      </c>
      <c r="C88" t="s">
        <v>43</v>
      </c>
      <c r="D88">
        <v>10</v>
      </c>
      <c r="E88" t="s">
        <v>37</v>
      </c>
      <c r="F88">
        <v>1.7399999999999999E-2</v>
      </c>
      <c r="G88">
        <v>2.5000000000000001E-2</v>
      </c>
      <c r="J88" t="s">
        <v>53</v>
      </c>
    </row>
    <row r="89" spans="1:18">
      <c r="A89" t="s">
        <v>38</v>
      </c>
      <c r="B89" t="s">
        <v>52</v>
      </c>
      <c r="C89" t="s">
        <v>43</v>
      </c>
      <c r="D89">
        <v>10</v>
      </c>
      <c r="E89" t="s">
        <v>37</v>
      </c>
      <c r="F89">
        <v>1.6199999999999999E-2</v>
      </c>
      <c r="G89">
        <v>2.8299999999999999E-2</v>
      </c>
      <c r="J89" t="s">
        <v>54</v>
      </c>
    </row>
    <row r="90" spans="1:18">
      <c r="A90" t="s">
        <v>38</v>
      </c>
      <c r="B90" t="s">
        <v>52</v>
      </c>
      <c r="C90" t="s">
        <v>43</v>
      </c>
      <c r="D90">
        <v>10</v>
      </c>
      <c r="E90" t="s">
        <v>37</v>
      </c>
      <c r="F90">
        <v>1.61E-2</v>
      </c>
      <c r="G90">
        <v>3.0600000000000002E-2</v>
      </c>
    </row>
    <row r="91" spans="1:18">
      <c r="A91" t="s">
        <v>38</v>
      </c>
      <c r="B91" t="s">
        <v>55</v>
      </c>
      <c r="C91" t="s">
        <v>43</v>
      </c>
      <c r="D91">
        <v>10</v>
      </c>
      <c r="E91" t="s">
        <v>37</v>
      </c>
      <c r="F91">
        <v>1.6899999999999998E-2</v>
      </c>
      <c r="G91">
        <v>2.52E-2</v>
      </c>
    </row>
    <row r="92" spans="1:18">
      <c r="A92" t="s">
        <v>38</v>
      </c>
      <c r="B92" t="s">
        <v>55</v>
      </c>
      <c r="C92" t="s">
        <v>43</v>
      </c>
      <c r="D92">
        <v>10</v>
      </c>
      <c r="E92" t="s">
        <v>37</v>
      </c>
      <c r="F92">
        <v>1.8000000000000002E-2</v>
      </c>
      <c r="G92">
        <v>2.0799999999999999E-2</v>
      </c>
    </row>
    <row r="93" spans="1:18">
      <c r="A93" t="s">
        <v>38</v>
      </c>
      <c r="B93" t="s">
        <v>55</v>
      </c>
      <c r="C93" t="s">
        <v>43</v>
      </c>
      <c r="D93">
        <v>10</v>
      </c>
      <c r="E93" t="s">
        <v>37</v>
      </c>
      <c r="F93">
        <v>1.9099999999999999E-2</v>
      </c>
      <c r="G93">
        <v>2.2499999999999999E-2</v>
      </c>
    </row>
  </sheetData>
  <mergeCells count="6">
    <mergeCell ref="B59:C59"/>
    <mergeCell ref="I2:O2"/>
    <mergeCell ref="P2:V2"/>
    <mergeCell ref="W2:AD2"/>
    <mergeCell ref="B53:E53"/>
    <mergeCell ref="B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E9B1-03F9-4DA1-B025-D4BB0583AD46}">
  <dimension ref="A1:H46"/>
  <sheetViews>
    <sheetView topLeftCell="A2" workbookViewId="0">
      <selection activeCell="F15" sqref="F15"/>
    </sheetView>
  </sheetViews>
  <sheetFormatPr defaultRowHeight="15"/>
  <sheetData>
    <row r="1" spans="1:8">
      <c r="A1" t="s">
        <v>56</v>
      </c>
      <c r="B1" t="s">
        <v>10</v>
      </c>
      <c r="C1" t="s">
        <v>2</v>
      </c>
      <c r="F1" t="s">
        <v>57</v>
      </c>
      <c r="G1" t="s">
        <v>10</v>
      </c>
      <c r="H1" t="s">
        <v>2</v>
      </c>
    </row>
    <row r="2" spans="1:8">
      <c r="A2">
        <v>0</v>
      </c>
      <c r="B2" t="s">
        <v>58</v>
      </c>
      <c r="C2">
        <v>7.0000000000000007E-2</v>
      </c>
      <c r="F2" t="s">
        <v>59</v>
      </c>
      <c r="G2">
        <v>149</v>
      </c>
      <c r="H2">
        <v>0.16</v>
      </c>
    </row>
    <row r="3" spans="1:8">
      <c r="A3">
        <v>1</v>
      </c>
      <c r="B3" t="s">
        <v>60</v>
      </c>
      <c r="C3">
        <v>7.0000000000000007E-2</v>
      </c>
    </row>
    <row r="4" spans="1:8">
      <c r="A4">
        <v>2</v>
      </c>
      <c r="B4" t="s">
        <v>60</v>
      </c>
      <c r="C4">
        <v>7.0000000000000007E-2</v>
      </c>
    </row>
    <row r="5" spans="1:8">
      <c r="A5">
        <v>3</v>
      </c>
      <c r="B5" t="s">
        <v>61</v>
      </c>
      <c r="C5">
        <v>7.0000000000000007E-2</v>
      </c>
    </row>
    <row r="6" spans="1:8">
      <c r="A6">
        <v>4</v>
      </c>
      <c r="B6">
        <v>142.1</v>
      </c>
      <c r="C6">
        <v>7.0000000000000007E-2</v>
      </c>
    </row>
    <row r="7" spans="1:8">
      <c r="A7">
        <v>5</v>
      </c>
      <c r="B7">
        <v>143</v>
      </c>
      <c r="C7">
        <v>0.08</v>
      </c>
    </row>
    <row r="8" spans="1:8">
      <c r="A8">
        <v>6</v>
      </c>
      <c r="B8">
        <v>143.9</v>
      </c>
      <c r="C8">
        <v>0.09</v>
      </c>
    </row>
    <row r="9" spans="1:8">
      <c r="A9">
        <v>7</v>
      </c>
      <c r="B9">
        <v>144.30000000000001</v>
      </c>
      <c r="C9">
        <v>0.1</v>
      </c>
    </row>
    <row r="10" spans="1:8">
      <c r="A10">
        <v>8</v>
      </c>
      <c r="B10">
        <v>145.19999999999999</v>
      </c>
      <c r="C10">
        <v>0.11</v>
      </c>
    </row>
    <row r="11" spans="1:8">
      <c r="A11">
        <v>9</v>
      </c>
      <c r="B11">
        <v>145.6</v>
      </c>
      <c r="C11">
        <v>0.12</v>
      </c>
    </row>
    <row r="12" spans="1:8">
      <c r="A12">
        <v>10</v>
      </c>
    </row>
    <row r="13" spans="1:8">
      <c r="A13">
        <v>11</v>
      </c>
      <c r="B13">
        <v>148.69999999999999</v>
      </c>
      <c r="C13">
        <v>0.16</v>
      </c>
    </row>
    <row r="14" spans="1:8">
      <c r="A14">
        <v>12</v>
      </c>
      <c r="B14">
        <v>149.6</v>
      </c>
      <c r="C14">
        <v>0.16</v>
      </c>
    </row>
    <row r="15" spans="1:8">
      <c r="A15">
        <v>13</v>
      </c>
      <c r="B15">
        <v>150.6</v>
      </c>
      <c r="C15">
        <v>0.18</v>
      </c>
    </row>
    <row r="16" spans="1:8">
      <c r="A16">
        <v>14</v>
      </c>
      <c r="B16">
        <v>151.6</v>
      </c>
      <c r="C16">
        <v>0.19</v>
      </c>
    </row>
    <row r="17" spans="1:3">
      <c r="A17">
        <v>15</v>
      </c>
      <c r="B17">
        <v>152.30000000000001</v>
      </c>
      <c r="C17">
        <v>0.2</v>
      </c>
    </row>
    <row r="18" spans="1:3">
      <c r="A18">
        <v>16</v>
      </c>
      <c r="B18">
        <v>153.69999999999999</v>
      </c>
      <c r="C18">
        <v>0.22</v>
      </c>
    </row>
    <row r="19" spans="1:3">
      <c r="A19">
        <v>17</v>
      </c>
      <c r="B19">
        <v>155.1</v>
      </c>
      <c r="C19">
        <v>0.24</v>
      </c>
    </row>
    <row r="20" spans="1:3">
      <c r="A20">
        <v>18</v>
      </c>
      <c r="B20">
        <v>155.4</v>
      </c>
      <c r="C20">
        <v>0.25</v>
      </c>
    </row>
    <row r="21" spans="1:3">
      <c r="A21">
        <v>19</v>
      </c>
      <c r="B21">
        <v>156</v>
      </c>
      <c r="C21">
        <v>0.26</v>
      </c>
    </row>
    <row r="22" spans="1:3">
      <c r="A22">
        <v>20</v>
      </c>
      <c r="B22">
        <v>156.4</v>
      </c>
      <c r="C22">
        <v>0.26</v>
      </c>
    </row>
    <row r="23" spans="1:3">
      <c r="A23">
        <v>21</v>
      </c>
      <c r="B23">
        <v>156.69999999999999</v>
      </c>
      <c r="C23">
        <v>0.26</v>
      </c>
    </row>
    <row r="24" spans="1:3">
      <c r="A24">
        <v>22</v>
      </c>
      <c r="B24">
        <v>157</v>
      </c>
      <c r="C24">
        <v>0.27</v>
      </c>
    </row>
    <row r="25" spans="1:3">
      <c r="A25">
        <v>23</v>
      </c>
      <c r="B25">
        <v>156.6</v>
      </c>
      <c r="C25">
        <v>0.26</v>
      </c>
    </row>
    <row r="26" spans="1:3">
      <c r="A26">
        <v>24</v>
      </c>
      <c r="B26">
        <v>156.30000000000001</v>
      </c>
      <c r="C26">
        <v>0.26</v>
      </c>
    </row>
    <row r="27" spans="1:3">
      <c r="A27">
        <v>25</v>
      </c>
      <c r="B27">
        <v>155.6</v>
      </c>
      <c r="C27">
        <v>0.25</v>
      </c>
    </row>
    <row r="28" spans="1:3">
      <c r="A28">
        <v>26</v>
      </c>
      <c r="B28">
        <v>155.30000000000001</v>
      </c>
      <c r="C28">
        <v>0.25</v>
      </c>
    </row>
    <row r="29" spans="1:3">
      <c r="A29">
        <v>27</v>
      </c>
      <c r="B29">
        <v>153.9</v>
      </c>
      <c r="C29">
        <v>0.22</v>
      </c>
    </row>
    <row r="30" spans="1:3">
      <c r="A30">
        <v>28</v>
      </c>
      <c r="B30">
        <v>152.9</v>
      </c>
      <c r="C30">
        <v>0.21</v>
      </c>
    </row>
    <row r="31" spans="1:3">
      <c r="A31">
        <v>29</v>
      </c>
      <c r="B31">
        <v>152</v>
      </c>
      <c r="C31">
        <v>0.2</v>
      </c>
    </row>
    <row r="32" spans="1:3">
      <c r="A32">
        <v>30</v>
      </c>
      <c r="B32">
        <v>151</v>
      </c>
      <c r="C32">
        <v>0.19</v>
      </c>
    </row>
    <row r="33" spans="1:3">
      <c r="A33">
        <v>31</v>
      </c>
      <c r="B33">
        <v>149.6</v>
      </c>
      <c r="C33">
        <v>0.17</v>
      </c>
    </row>
    <row r="34" spans="1:3">
      <c r="A34">
        <v>32</v>
      </c>
      <c r="B34">
        <v>158.5</v>
      </c>
      <c r="C34">
        <v>0.15</v>
      </c>
    </row>
    <row r="35" spans="1:3">
      <c r="A35">
        <v>33</v>
      </c>
      <c r="B35">
        <v>147.4</v>
      </c>
      <c r="C35">
        <v>0.14000000000000001</v>
      </c>
    </row>
    <row r="36" spans="1:3">
      <c r="A36">
        <v>34</v>
      </c>
      <c r="B36">
        <v>146.30000000000001</v>
      </c>
      <c r="C36">
        <v>0.12</v>
      </c>
    </row>
    <row r="37" spans="1:3">
      <c r="A37">
        <v>35</v>
      </c>
      <c r="B37">
        <v>145.4</v>
      </c>
      <c r="C37">
        <v>0.11</v>
      </c>
    </row>
    <row r="38" spans="1:3">
      <c r="A38">
        <v>36</v>
      </c>
      <c r="B38">
        <v>145</v>
      </c>
      <c r="C38">
        <v>0.1</v>
      </c>
    </row>
    <row r="39" spans="1:3">
      <c r="A39">
        <v>37</v>
      </c>
      <c r="B39">
        <v>143.80000000000001</v>
      </c>
      <c r="C39">
        <v>0.09</v>
      </c>
    </row>
    <row r="40" spans="1:3">
      <c r="A40">
        <v>38</v>
      </c>
      <c r="B40">
        <v>143.4</v>
      </c>
      <c r="C40">
        <v>0.09</v>
      </c>
    </row>
    <row r="41" spans="1:3">
      <c r="A41">
        <v>39</v>
      </c>
      <c r="B41">
        <v>142.5</v>
      </c>
      <c r="C41">
        <v>0.08</v>
      </c>
    </row>
    <row r="42" spans="1:3">
      <c r="A42">
        <v>40</v>
      </c>
      <c r="B42">
        <v>142.1</v>
      </c>
      <c r="C42">
        <v>7.0000000000000007E-2</v>
      </c>
    </row>
    <row r="43" spans="1:3">
      <c r="A43">
        <v>41</v>
      </c>
      <c r="B43">
        <v>141.5</v>
      </c>
      <c r="C43">
        <v>7.0000000000000007E-2</v>
      </c>
    </row>
    <row r="44" spans="1:3">
      <c r="A44">
        <v>42</v>
      </c>
      <c r="B44">
        <v>141.5</v>
      </c>
      <c r="C44">
        <v>7.0000000000000007E-2</v>
      </c>
    </row>
    <row r="45" spans="1:3">
      <c r="A45">
        <v>43</v>
      </c>
      <c r="B45">
        <v>141.5</v>
      </c>
      <c r="C45">
        <v>7.0000000000000007E-2</v>
      </c>
    </row>
    <row r="46" spans="1:3">
      <c r="A46">
        <v>44</v>
      </c>
      <c r="B46">
        <v>141.5</v>
      </c>
      <c r="C46">
        <v>7.0000000000000007E-2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5755-7AD7-4EA6-B7A3-0E5010B16529}">
  <dimension ref="A1:H45"/>
  <sheetViews>
    <sheetView topLeftCell="B2" workbookViewId="0">
      <selection activeCell="B2" sqref="B2"/>
    </sheetView>
  </sheetViews>
  <sheetFormatPr defaultRowHeight="15"/>
  <sheetData>
    <row r="1" spans="1:8">
      <c r="A1" t="s">
        <v>62</v>
      </c>
      <c r="B1" t="s">
        <v>63</v>
      </c>
      <c r="C1" t="s">
        <v>2</v>
      </c>
      <c r="F1" t="s">
        <v>0</v>
      </c>
      <c r="G1" t="s">
        <v>64</v>
      </c>
      <c r="H1" t="s">
        <v>65</v>
      </c>
    </row>
    <row r="2" spans="1:8">
      <c r="A2">
        <v>1</v>
      </c>
      <c r="B2">
        <v>179.6</v>
      </c>
      <c r="C2">
        <v>7.0000000000000007E-2</v>
      </c>
      <c r="F2" t="s">
        <v>59</v>
      </c>
      <c r="G2">
        <v>188.3</v>
      </c>
      <c r="H2">
        <v>0.16</v>
      </c>
    </row>
    <row r="3" spans="1:8">
      <c r="A3">
        <v>2</v>
      </c>
      <c r="B3">
        <v>179.8</v>
      </c>
      <c r="C3">
        <v>7.0000000000000007E-2</v>
      </c>
    </row>
    <row r="4" spans="1:8">
      <c r="A4">
        <v>3</v>
      </c>
      <c r="B4">
        <v>179.8</v>
      </c>
      <c r="C4">
        <v>7.0000000000000007E-2</v>
      </c>
    </row>
    <row r="5" spans="1:8">
      <c r="A5">
        <v>4</v>
      </c>
      <c r="B5">
        <v>180.2</v>
      </c>
      <c r="C5">
        <v>0.08</v>
      </c>
    </row>
    <row r="6" spans="1:8">
      <c r="A6">
        <v>5</v>
      </c>
      <c r="B6">
        <v>181.2</v>
      </c>
      <c r="C6">
        <v>0.09</v>
      </c>
    </row>
    <row r="7" spans="1:8">
      <c r="A7">
        <v>6</v>
      </c>
      <c r="B7">
        <v>182.7</v>
      </c>
      <c r="C7">
        <v>0.1</v>
      </c>
    </row>
    <row r="8" spans="1:8">
      <c r="A8">
        <v>7</v>
      </c>
      <c r="B8">
        <v>183.2</v>
      </c>
      <c r="C8">
        <v>0.11</v>
      </c>
    </row>
    <row r="9" spans="1:8">
      <c r="A9">
        <v>8</v>
      </c>
      <c r="B9">
        <v>184.2</v>
      </c>
      <c r="C9">
        <v>0.12</v>
      </c>
    </row>
    <row r="10" spans="1:8">
      <c r="A10">
        <v>9</v>
      </c>
      <c r="B10">
        <v>185.5</v>
      </c>
      <c r="C10">
        <v>0.13</v>
      </c>
    </row>
    <row r="11" spans="1:8">
      <c r="A11">
        <v>10</v>
      </c>
      <c r="B11">
        <v>187.3</v>
      </c>
      <c r="C11">
        <v>0.15</v>
      </c>
    </row>
    <row r="12" spans="1:8">
      <c r="A12">
        <v>11</v>
      </c>
      <c r="B12">
        <v>188.2</v>
      </c>
      <c r="C12">
        <v>0.16</v>
      </c>
    </row>
    <row r="13" spans="1:8">
      <c r="A13">
        <v>12</v>
      </c>
      <c r="B13">
        <v>189.9</v>
      </c>
      <c r="C13">
        <v>0.18</v>
      </c>
    </row>
    <row r="14" spans="1:8">
      <c r="A14">
        <v>13</v>
      </c>
      <c r="B14">
        <v>191.3</v>
      </c>
      <c r="C14">
        <v>0.2</v>
      </c>
    </row>
    <row r="15" spans="1:8">
      <c r="A15">
        <v>14</v>
      </c>
      <c r="B15">
        <v>193</v>
      </c>
      <c r="C15">
        <v>0.22</v>
      </c>
    </row>
    <row r="16" spans="1:8">
      <c r="A16">
        <v>15</v>
      </c>
      <c r="B16">
        <v>194.2</v>
      </c>
      <c r="C16">
        <v>0.24</v>
      </c>
    </row>
    <row r="17" spans="1:3">
      <c r="A17">
        <v>16</v>
      </c>
      <c r="B17">
        <v>195.5</v>
      </c>
      <c r="C17">
        <v>0.25</v>
      </c>
    </row>
    <row r="18" spans="1:3">
      <c r="A18">
        <v>17</v>
      </c>
      <c r="B18">
        <v>196.6</v>
      </c>
      <c r="C18">
        <v>0.26</v>
      </c>
    </row>
    <row r="19" spans="1:3">
      <c r="A19">
        <v>18</v>
      </c>
      <c r="B19">
        <v>197.7</v>
      </c>
      <c r="C19">
        <v>0.28000000000000003</v>
      </c>
    </row>
    <row r="20" spans="1:3">
      <c r="A20">
        <v>19</v>
      </c>
      <c r="B20">
        <v>198.5</v>
      </c>
      <c r="C20">
        <v>0.28999999999999998</v>
      </c>
    </row>
    <row r="21" spans="1:3">
      <c r="A21">
        <v>20</v>
      </c>
      <c r="B21">
        <v>199.3</v>
      </c>
      <c r="C21">
        <v>0.3</v>
      </c>
    </row>
    <row r="22" spans="1:3">
      <c r="A22">
        <v>21</v>
      </c>
      <c r="B22">
        <v>199.3</v>
      </c>
      <c r="C22">
        <v>0.3</v>
      </c>
    </row>
    <row r="23" spans="1:3">
      <c r="A23">
        <v>22</v>
      </c>
      <c r="B23">
        <v>199.6</v>
      </c>
      <c r="C23">
        <v>0.3</v>
      </c>
    </row>
    <row r="24" spans="1:3">
      <c r="A24">
        <v>23</v>
      </c>
      <c r="B24">
        <v>199.2</v>
      </c>
      <c r="C24">
        <v>0.3</v>
      </c>
    </row>
    <row r="25" spans="1:3">
      <c r="A25">
        <v>24</v>
      </c>
      <c r="B25">
        <v>199.2</v>
      </c>
      <c r="C25">
        <v>0.3</v>
      </c>
    </row>
    <row r="26" spans="1:3">
      <c r="A26">
        <v>25</v>
      </c>
      <c r="B26">
        <v>198.3</v>
      </c>
      <c r="C26">
        <v>0.28999999999999998</v>
      </c>
    </row>
    <row r="27" spans="1:3">
      <c r="A27">
        <v>26</v>
      </c>
      <c r="B27">
        <v>197.5</v>
      </c>
      <c r="C27">
        <v>0.27</v>
      </c>
    </row>
    <row r="28" spans="1:3">
      <c r="A28">
        <v>27</v>
      </c>
      <c r="B28">
        <v>196.1</v>
      </c>
      <c r="C28">
        <v>0.26</v>
      </c>
    </row>
    <row r="29" spans="1:3">
      <c r="A29">
        <v>28</v>
      </c>
      <c r="B29">
        <v>195.5</v>
      </c>
      <c r="C29">
        <v>0.25</v>
      </c>
    </row>
    <row r="30" spans="1:3">
      <c r="A30">
        <v>29</v>
      </c>
      <c r="B30">
        <v>193.5</v>
      </c>
      <c r="C30">
        <v>0.23</v>
      </c>
    </row>
    <row r="31" spans="1:3">
      <c r="A31">
        <v>30</v>
      </c>
      <c r="B31">
        <v>192.2</v>
      </c>
      <c r="C31">
        <v>0.21</v>
      </c>
    </row>
    <row r="32" spans="1:3">
      <c r="A32">
        <v>31</v>
      </c>
      <c r="B32">
        <v>190.5</v>
      </c>
      <c r="C32">
        <v>0.2</v>
      </c>
    </row>
    <row r="33" spans="1:3">
      <c r="A33">
        <v>32</v>
      </c>
      <c r="B33">
        <v>189.2</v>
      </c>
      <c r="C33">
        <v>0.18</v>
      </c>
    </row>
    <row r="34" spans="1:3">
      <c r="A34">
        <v>33</v>
      </c>
      <c r="B34">
        <v>187.5</v>
      </c>
      <c r="C34">
        <v>0.16</v>
      </c>
    </row>
    <row r="35" spans="1:3">
      <c r="A35">
        <v>34</v>
      </c>
      <c r="B35">
        <v>186.5</v>
      </c>
      <c r="C35">
        <v>0.15</v>
      </c>
    </row>
    <row r="36" spans="1:3">
      <c r="A36">
        <v>35</v>
      </c>
      <c r="B36">
        <v>185.2</v>
      </c>
      <c r="C36">
        <v>0.13</v>
      </c>
    </row>
    <row r="37" spans="1:3">
      <c r="A37">
        <v>36</v>
      </c>
      <c r="B37">
        <v>183.6</v>
      </c>
      <c r="C37">
        <v>0.12</v>
      </c>
    </row>
    <row r="38" spans="1:3">
      <c r="A38">
        <v>37</v>
      </c>
      <c r="B38">
        <v>182.5</v>
      </c>
      <c r="C38">
        <v>0.11</v>
      </c>
    </row>
    <row r="39" spans="1:3">
      <c r="A39">
        <v>38</v>
      </c>
      <c r="B39">
        <v>182</v>
      </c>
      <c r="C39">
        <v>0.1</v>
      </c>
    </row>
    <row r="40" spans="1:3">
      <c r="A40">
        <v>39</v>
      </c>
      <c r="B40">
        <v>181</v>
      </c>
      <c r="C40">
        <v>0.09</v>
      </c>
    </row>
    <row r="41" spans="1:3">
      <c r="A41">
        <v>40</v>
      </c>
      <c r="B41">
        <v>180</v>
      </c>
      <c r="C41">
        <v>0.08</v>
      </c>
    </row>
    <row r="42" spans="1:3">
      <c r="A42">
        <v>41</v>
      </c>
      <c r="B42">
        <v>179.4</v>
      </c>
      <c r="C42">
        <v>7.0000000000000007E-2</v>
      </c>
    </row>
    <row r="43" spans="1:3">
      <c r="A43">
        <v>42</v>
      </c>
      <c r="B43">
        <v>179.4</v>
      </c>
      <c r="C43">
        <v>7.0000000000000007E-2</v>
      </c>
    </row>
    <row r="44" spans="1:3">
      <c r="A44">
        <v>43</v>
      </c>
      <c r="B44">
        <v>179.4</v>
      </c>
      <c r="C44">
        <v>7.0000000000000007E-2</v>
      </c>
    </row>
    <row r="45" spans="1:3">
      <c r="A45">
        <v>44</v>
      </c>
      <c r="B45">
        <v>179.4</v>
      </c>
      <c r="C45">
        <v>7.0000000000000007E-2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30BB-6C21-470E-A01B-4E92B2B09C20}">
  <dimension ref="A1:H43"/>
  <sheetViews>
    <sheetView workbookViewId="0">
      <selection activeCell="D8" sqref="D8"/>
    </sheetView>
  </sheetViews>
  <sheetFormatPr defaultRowHeight="15"/>
  <sheetData>
    <row r="1" spans="1:8">
      <c r="A1" t="s">
        <v>62</v>
      </c>
      <c r="B1" t="s">
        <v>63</v>
      </c>
      <c r="C1" t="s">
        <v>2</v>
      </c>
      <c r="D1" t="s">
        <v>66</v>
      </c>
      <c r="F1" t="s">
        <v>0</v>
      </c>
      <c r="G1" t="s">
        <v>10</v>
      </c>
      <c r="H1" t="s">
        <v>2</v>
      </c>
    </row>
    <row r="2" spans="1:8">
      <c r="A2">
        <v>1</v>
      </c>
      <c r="B2">
        <v>181.2</v>
      </c>
      <c r="C2">
        <v>0.08</v>
      </c>
      <c r="F2" t="s">
        <v>59</v>
      </c>
      <c r="G2">
        <v>188</v>
      </c>
      <c r="H2">
        <v>0.16</v>
      </c>
    </row>
    <row r="3" spans="1:8">
      <c r="A3">
        <v>2</v>
      </c>
      <c r="B3">
        <v>181.2</v>
      </c>
      <c r="C3">
        <v>0.08</v>
      </c>
    </row>
    <row r="4" spans="1:8">
      <c r="A4">
        <v>3</v>
      </c>
      <c r="B4">
        <v>181.2</v>
      </c>
      <c r="C4">
        <v>0.08</v>
      </c>
    </row>
    <row r="5" spans="1:8">
      <c r="A5">
        <v>4</v>
      </c>
      <c r="B5">
        <v>181.2</v>
      </c>
      <c r="C5">
        <v>0.08</v>
      </c>
    </row>
    <row r="6" spans="1:8">
      <c r="A6">
        <v>5</v>
      </c>
      <c r="B6">
        <v>181.7</v>
      </c>
      <c r="C6">
        <v>0.08</v>
      </c>
    </row>
    <row r="7" spans="1:8">
      <c r="A7">
        <v>6</v>
      </c>
      <c r="B7">
        <v>182.1</v>
      </c>
      <c r="C7">
        <v>0.09</v>
      </c>
    </row>
    <row r="8" spans="1:8">
      <c r="A8">
        <v>7</v>
      </c>
      <c r="B8">
        <v>183.3</v>
      </c>
      <c r="C8">
        <v>0.1</v>
      </c>
      <c r="D8" t="s">
        <v>67</v>
      </c>
    </row>
    <row r="9" spans="1:8">
      <c r="A9">
        <v>8</v>
      </c>
      <c r="B9">
        <v>184.1</v>
      </c>
      <c r="C9">
        <v>0.11</v>
      </c>
    </row>
    <row r="10" spans="1:8">
      <c r="A10">
        <v>9</v>
      </c>
      <c r="B10">
        <v>184.9</v>
      </c>
      <c r="C10">
        <v>0.12</v>
      </c>
    </row>
    <row r="11" spans="1:8">
      <c r="A11">
        <v>10</v>
      </c>
      <c r="B11">
        <v>186.4</v>
      </c>
      <c r="C11">
        <v>0.14000000000000001</v>
      </c>
    </row>
    <row r="12" spans="1:8">
      <c r="A12">
        <v>11</v>
      </c>
      <c r="B12">
        <v>187.5</v>
      </c>
      <c r="C12">
        <v>0.16</v>
      </c>
    </row>
    <row r="13" spans="1:8">
      <c r="A13">
        <v>12</v>
      </c>
      <c r="B13">
        <v>188.5</v>
      </c>
      <c r="C13">
        <v>0.17</v>
      </c>
    </row>
    <row r="14" spans="1:8">
      <c r="A14">
        <v>13</v>
      </c>
      <c r="B14">
        <v>189.5</v>
      </c>
      <c r="C14">
        <v>0.19</v>
      </c>
    </row>
    <row r="15" spans="1:8">
      <c r="A15">
        <v>14</v>
      </c>
      <c r="B15">
        <v>191.2</v>
      </c>
      <c r="C15">
        <v>0.21</v>
      </c>
    </row>
    <row r="16" spans="1:8">
      <c r="A16">
        <v>15</v>
      </c>
      <c r="B16">
        <v>192</v>
      </c>
      <c r="C16">
        <v>0.23</v>
      </c>
    </row>
    <row r="17" spans="1:3">
      <c r="A17">
        <v>16</v>
      </c>
      <c r="B17">
        <v>193.2</v>
      </c>
      <c r="C17">
        <v>0.24</v>
      </c>
    </row>
    <row r="18" spans="1:3">
      <c r="A18">
        <v>17</v>
      </c>
      <c r="B18">
        <v>194.1</v>
      </c>
      <c r="C18">
        <v>0.26</v>
      </c>
    </row>
    <row r="19" spans="1:3">
      <c r="A19">
        <v>18</v>
      </c>
      <c r="B19">
        <v>194.6</v>
      </c>
      <c r="C19">
        <v>0.27</v>
      </c>
    </row>
    <row r="20" spans="1:3">
      <c r="A20">
        <v>19</v>
      </c>
      <c r="B20">
        <v>195.4</v>
      </c>
      <c r="C20">
        <v>0.28000000000000003</v>
      </c>
    </row>
    <row r="21" spans="1:3">
      <c r="A21">
        <v>20</v>
      </c>
      <c r="B21">
        <v>195.7</v>
      </c>
      <c r="C21">
        <v>0.28000000000000003</v>
      </c>
    </row>
    <row r="22" spans="1:3">
      <c r="A22">
        <v>21</v>
      </c>
      <c r="B22">
        <v>196.1</v>
      </c>
      <c r="C22">
        <v>0.28999999999999998</v>
      </c>
    </row>
    <row r="23" spans="1:3">
      <c r="A23">
        <v>22</v>
      </c>
      <c r="B23">
        <v>195.7</v>
      </c>
      <c r="C23">
        <v>0.28000000000000003</v>
      </c>
    </row>
    <row r="24" spans="1:3">
      <c r="A24">
        <v>23</v>
      </c>
      <c r="B24">
        <v>195.3</v>
      </c>
      <c r="C24">
        <v>0.28000000000000003</v>
      </c>
    </row>
    <row r="25" spans="1:3">
      <c r="A25">
        <v>24</v>
      </c>
      <c r="B25">
        <v>194.7</v>
      </c>
      <c r="C25">
        <v>0.27</v>
      </c>
    </row>
    <row r="26" spans="1:3">
      <c r="A26">
        <v>25</v>
      </c>
      <c r="B26">
        <v>194</v>
      </c>
      <c r="C26">
        <v>0.26</v>
      </c>
    </row>
    <row r="27" spans="1:3">
      <c r="A27">
        <v>26</v>
      </c>
      <c r="B27">
        <v>192.7</v>
      </c>
      <c r="C27">
        <v>0.24</v>
      </c>
    </row>
    <row r="28" spans="1:3">
      <c r="A28">
        <v>27</v>
      </c>
      <c r="B28">
        <v>191.7</v>
      </c>
      <c r="C28">
        <v>0.22</v>
      </c>
    </row>
    <row r="29" spans="1:3">
      <c r="A29">
        <v>28</v>
      </c>
      <c r="B29">
        <v>190.7</v>
      </c>
      <c r="C29">
        <v>0.21</v>
      </c>
    </row>
    <row r="30" spans="1:3">
      <c r="A30">
        <v>29</v>
      </c>
      <c r="B30">
        <v>189.4</v>
      </c>
      <c r="C30">
        <v>0.19</v>
      </c>
    </row>
    <row r="31" spans="1:3">
      <c r="A31">
        <v>30</v>
      </c>
      <c r="B31">
        <v>188</v>
      </c>
      <c r="C31">
        <v>0.17</v>
      </c>
    </row>
    <row r="32" spans="1:3">
      <c r="A32">
        <v>31</v>
      </c>
      <c r="B32">
        <v>187.3</v>
      </c>
      <c r="C32">
        <v>0.15</v>
      </c>
    </row>
    <row r="33" spans="1:3">
      <c r="A33">
        <v>32</v>
      </c>
      <c r="B33">
        <v>185.2</v>
      </c>
      <c r="C33">
        <v>0.13</v>
      </c>
    </row>
    <row r="34" spans="1:3">
      <c r="A34">
        <v>33</v>
      </c>
      <c r="B34">
        <v>184.7</v>
      </c>
      <c r="C34">
        <v>0.12</v>
      </c>
    </row>
    <row r="35" spans="1:3">
      <c r="A35">
        <v>34</v>
      </c>
      <c r="B35">
        <v>183.9</v>
      </c>
      <c r="C35">
        <v>0.11</v>
      </c>
    </row>
    <row r="36" spans="1:3">
      <c r="A36">
        <v>35</v>
      </c>
      <c r="B36">
        <v>183.2</v>
      </c>
      <c r="C36">
        <v>0.1</v>
      </c>
    </row>
    <row r="37" spans="1:3">
      <c r="A37">
        <v>36</v>
      </c>
      <c r="B37">
        <v>181.9</v>
      </c>
      <c r="C37">
        <v>0.09</v>
      </c>
    </row>
    <row r="38" spans="1:3">
      <c r="A38">
        <v>37</v>
      </c>
      <c r="B38">
        <v>181.4</v>
      </c>
      <c r="C38">
        <v>0.08</v>
      </c>
    </row>
    <row r="39" spans="1:3">
      <c r="A39">
        <v>38</v>
      </c>
      <c r="B39">
        <v>181</v>
      </c>
      <c r="C39">
        <v>0.08</v>
      </c>
    </row>
    <row r="40" spans="1:3">
      <c r="A40">
        <v>39</v>
      </c>
      <c r="B40">
        <v>181</v>
      </c>
      <c r="C40">
        <v>0.08</v>
      </c>
    </row>
    <row r="41" spans="1:3">
      <c r="A41">
        <v>40</v>
      </c>
      <c r="B41">
        <v>181</v>
      </c>
      <c r="C41">
        <v>0.08</v>
      </c>
    </row>
    <row r="42" spans="1:3">
      <c r="A42">
        <v>41</v>
      </c>
      <c r="B42">
        <v>181</v>
      </c>
      <c r="C42">
        <v>0.08</v>
      </c>
    </row>
    <row r="43" spans="1:3">
      <c r="A43">
        <v>42</v>
      </c>
      <c r="B43">
        <v>181</v>
      </c>
      <c r="C43">
        <v>0.08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94B9-A678-4A1E-908A-20997AA01E7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7D68-97D4-438D-A898-13FD4C83DC4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7D88-8DDA-4C00-8487-661A7FF5C5C7}">
  <dimension ref="A1:V144"/>
  <sheetViews>
    <sheetView topLeftCell="A98" workbookViewId="0">
      <selection activeCell="Q115" sqref="Q115:Q120"/>
    </sheetView>
  </sheetViews>
  <sheetFormatPr defaultRowHeight="15"/>
  <sheetData>
    <row r="1" spans="1:22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</row>
    <row r="2" spans="1:22">
      <c r="A2" t="s">
        <v>90</v>
      </c>
      <c r="B2">
        <v>1</v>
      </c>
      <c r="C2">
        <v>7</v>
      </c>
      <c r="D2" t="s">
        <v>40</v>
      </c>
      <c r="E2">
        <v>0.13100000000000001</v>
      </c>
      <c r="F2">
        <v>0.13400000000000001</v>
      </c>
      <c r="G2">
        <v>3.0000000000000001E-3</v>
      </c>
      <c r="H2">
        <v>1.0999999999999999E-2</v>
      </c>
      <c r="I2">
        <v>0.81100000000000005</v>
      </c>
      <c r="J2">
        <v>0.56899999999999995</v>
      </c>
      <c r="K2">
        <v>0.42799999999999999</v>
      </c>
      <c r="L2">
        <v>0.70399999999999996</v>
      </c>
      <c r="M2">
        <v>3.2</v>
      </c>
      <c r="N2" s="12">
        <v>6435638</v>
      </c>
      <c r="O2" s="12">
        <v>9408615</v>
      </c>
      <c r="P2" s="12">
        <v>1462039</v>
      </c>
      <c r="Q2">
        <v>1.4E-2</v>
      </c>
      <c r="R2">
        <v>6.042296E-3</v>
      </c>
      <c r="S2" s="12">
        <v>14776</v>
      </c>
      <c r="T2">
        <v>0.73899999999999999</v>
      </c>
      <c r="U2" s="12">
        <v>48074</v>
      </c>
      <c r="V2" s="12">
        <v>7282371</v>
      </c>
    </row>
    <row r="3" spans="1:22">
      <c r="A3" t="s">
        <v>90</v>
      </c>
      <c r="B3">
        <v>1</v>
      </c>
      <c r="C3">
        <v>7</v>
      </c>
      <c r="D3" t="s">
        <v>40</v>
      </c>
      <c r="E3">
        <v>0.123</v>
      </c>
      <c r="F3">
        <v>0.129</v>
      </c>
      <c r="G3">
        <v>4.0000000000000001E-3</v>
      </c>
      <c r="H3">
        <v>0.01</v>
      </c>
      <c r="I3">
        <v>0.82</v>
      </c>
      <c r="J3">
        <v>0.58799999999999997</v>
      </c>
      <c r="K3">
        <v>0.40400000000000003</v>
      </c>
      <c r="L3">
        <v>0.72099999999999997</v>
      </c>
      <c r="M3">
        <v>3.2</v>
      </c>
      <c r="N3" s="12">
        <v>6012161</v>
      </c>
      <c r="O3" s="12">
        <v>934873</v>
      </c>
      <c r="P3" s="12">
        <v>1261252</v>
      </c>
      <c r="Q3">
        <v>1.4E-2</v>
      </c>
      <c r="R3">
        <v>6.042296E-3</v>
      </c>
      <c r="S3" s="12">
        <v>13858</v>
      </c>
      <c r="T3">
        <v>0.69320000000000004</v>
      </c>
      <c r="U3" s="12">
        <v>41668</v>
      </c>
      <c r="V3" s="12">
        <v>6947034</v>
      </c>
    </row>
    <row r="4" spans="1:22">
      <c r="A4" t="s">
        <v>90</v>
      </c>
      <c r="B4">
        <v>1</v>
      </c>
      <c r="C4">
        <v>7</v>
      </c>
      <c r="D4" t="s">
        <v>40</v>
      </c>
      <c r="E4">
        <v>0.13800000000000001</v>
      </c>
      <c r="F4">
        <v>0.12</v>
      </c>
      <c r="G4">
        <v>4.0000000000000001E-3</v>
      </c>
      <c r="H4">
        <v>1.04E-2</v>
      </c>
      <c r="I4">
        <v>0.81599999999999995</v>
      </c>
      <c r="J4">
        <v>0.57299999999999995</v>
      </c>
      <c r="K4">
        <v>0.42199999999999999</v>
      </c>
      <c r="L4">
        <v>0.70499999999999996</v>
      </c>
      <c r="M4">
        <v>3.2</v>
      </c>
      <c r="N4" s="12">
        <v>5397664</v>
      </c>
      <c r="O4" s="12">
        <v>911233</v>
      </c>
      <c r="P4">
        <v>131.05000000000001</v>
      </c>
      <c r="Q4">
        <v>1.4200000000000001E-2</v>
      </c>
      <c r="R4">
        <v>6.1286146000000003E-3</v>
      </c>
      <c r="S4" s="12">
        <v>10414</v>
      </c>
      <c r="T4">
        <v>0.52100000000000002</v>
      </c>
      <c r="U4" s="12">
        <v>44958</v>
      </c>
      <c r="V4" s="12">
        <v>6308897</v>
      </c>
    </row>
    <row r="5" spans="1:22">
      <c r="A5" t="s">
        <v>90</v>
      </c>
      <c r="B5">
        <v>1</v>
      </c>
      <c r="C5">
        <v>7</v>
      </c>
      <c r="D5" t="s">
        <v>40</v>
      </c>
      <c r="E5">
        <v>0.11600000000000001</v>
      </c>
      <c r="F5">
        <v>0.13500000000000001</v>
      </c>
      <c r="G5">
        <v>4.0000000000000001E-3</v>
      </c>
      <c r="H5">
        <v>1.0999999999999999E-2</v>
      </c>
      <c r="I5">
        <v>0.81699999999999995</v>
      </c>
      <c r="J5">
        <v>0.57799999999999996</v>
      </c>
      <c r="K5">
        <v>0.42599999999999999</v>
      </c>
      <c r="L5">
        <v>0.70599999999999996</v>
      </c>
      <c r="M5">
        <v>3.2</v>
      </c>
      <c r="N5" s="12">
        <v>574655</v>
      </c>
      <c r="O5" s="12">
        <v>100855</v>
      </c>
      <c r="P5" s="12">
        <v>1213375</v>
      </c>
      <c r="Q5">
        <v>1.4999999999999999E-2</v>
      </c>
      <c r="R5">
        <v>6.473889E-3</v>
      </c>
      <c r="S5" s="12">
        <v>10532</v>
      </c>
      <c r="T5">
        <v>0.52659999999999996</v>
      </c>
      <c r="U5" s="12">
        <v>42036</v>
      </c>
      <c r="V5">
        <v>675.51</v>
      </c>
    </row>
    <row r="6" spans="1:22">
      <c r="A6" t="s">
        <v>90</v>
      </c>
      <c r="B6">
        <v>1</v>
      </c>
      <c r="C6">
        <v>7</v>
      </c>
      <c r="D6" t="s">
        <v>40</v>
      </c>
      <c r="E6">
        <v>0.13500000000000001</v>
      </c>
      <c r="F6">
        <v>0.124</v>
      </c>
      <c r="G6">
        <v>5.0000000000000001E-3</v>
      </c>
      <c r="H6">
        <v>0.01</v>
      </c>
      <c r="I6">
        <v>0.81200000000000006</v>
      </c>
      <c r="J6">
        <v>0.60199999999999998</v>
      </c>
      <c r="K6">
        <v>0.40200000000000002</v>
      </c>
      <c r="L6">
        <v>0.73899999999999999</v>
      </c>
      <c r="M6">
        <v>3.2</v>
      </c>
      <c r="N6" s="12">
        <v>735195</v>
      </c>
      <c r="O6" s="12">
        <v>90879</v>
      </c>
      <c r="P6" s="12">
        <v>1656846</v>
      </c>
      <c r="Q6">
        <v>1.4999999999999999E-2</v>
      </c>
      <c r="R6">
        <v>6.473889E-3</v>
      </c>
      <c r="S6">
        <v>0.94099999999999995</v>
      </c>
      <c r="T6">
        <v>0.4708</v>
      </c>
      <c r="U6" s="12">
        <v>4657</v>
      </c>
      <c r="V6" s="12">
        <v>826074</v>
      </c>
    </row>
    <row r="7" spans="1:22">
      <c r="A7" t="s">
        <v>90</v>
      </c>
      <c r="B7">
        <v>1</v>
      </c>
      <c r="C7">
        <v>7</v>
      </c>
      <c r="D7" t="s">
        <v>40</v>
      </c>
      <c r="E7">
        <v>0.13900000000000001</v>
      </c>
      <c r="F7">
        <v>0.12839999999999999</v>
      </c>
      <c r="G7">
        <v>3.0000000000000001E-3</v>
      </c>
      <c r="H7">
        <v>0.01</v>
      </c>
      <c r="I7">
        <v>0.81100000000000005</v>
      </c>
      <c r="J7">
        <v>0.58599999999999997</v>
      </c>
      <c r="K7">
        <v>0.41599999999999998</v>
      </c>
      <c r="L7">
        <v>0.72099999999999997</v>
      </c>
      <c r="M7">
        <v>3.2</v>
      </c>
      <c r="N7" s="12">
        <v>6218364</v>
      </c>
      <c r="O7" s="12">
        <v>9408615</v>
      </c>
      <c r="P7">
        <v>125.98</v>
      </c>
      <c r="Q7">
        <v>1.2999999999999999E-2</v>
      </c>
      <c r="R7">
        <v>5.6107029999999999E-3</v>
      </c>
      <c r="S7">
        <v>1.03</v>
      </c>
      <c r="T7">
        <v>0.51519999999999999</v>
      </c>
      <c r="U7" s="12">
        <v>43972</v>
      </c>
      <c r="V7" s="12">
        <v>7377928</v>
      </c>
    </row>
    <row r="8" spans="1:22">
      <c r="A8" t="s">
        <v>90</v>
      </c>
      <c r="B8">
        <v>2</v>
      </c>
      <c r="C8">
        <v>10</v>
      </c>
      <c r="D8" t="s">
        <v>40</v>
      </c>
      <c r="E8">
        <v>0.184</v>
      </c>
      <c r="F8">
        <v>0.13500000000000001</v>
      </c>
      <c r="G8">
        <v>7.6E-3</v>
      </c>
      <c r="H8">
        <v>1.11E-2</v>
      </c>
      <c r="I8">
        <v>0.79600000000000004</v>
      </c>
      <c r="J8">
        <v>0.55000000000000004</v>
      </c>
      <c r="K8">
        <v>0.45700000000000002</v>
      </c>
      <c r="L8">
        <v>0.68600000000000005</v>
      </c>
      <c r="M8">
        <v>2.9</v>
      </c>
      <c r="N8">
        <v>635.03</v>
      </c>
      <c r="O8" s="12">
        <v>179764775</v>
      </c>
      <c r="P8" s="12">
        <v>130564</v>
      </c>
      <c r="Q8">
        <v>1.8700000000000001E-2</v>
      </c>
      <c r="R8">
        <v>5.6495470000000004E-3</v>
      </c>
      <c r="S8" s="12">
        <v>15392</v>
      </c>
      <c r="T8">
        <v>0.76959999999999995</v>
      </c>
      <c r="U8" s="12">
        <v>51424</v>
      </c>
      <c r="V8" s="12">
        <v>8774455</v>
      </c>
    </row>
    <row r="9" spans="1:22">
      <c r="A9" t="s">
        <v>90</v>
      </c>
      <c r="B9">
        <v>2</v>
      </c>
      <c r="C9">
        <v>10</v>
      </c>
      <c r="D9" t="s">
        <v>40</v>
      </c>
      <c r="E9">
        <v>0.19400000000000001</v>
      </c>
      <c r="F9">
        <v>0.128</v>
      </c>
      <c r="G9">
        <v>6.8999999999999999E-3</v>
      </c>
      <c r="H9">
        <v>1.29E-2</v>
      </c>
      <c r="I9">
        <v>0.8</v>
      </c>
      <c r="J9">
        <v>0.57399999999999995</v>
      </c>
      <c r="K9">
        <v>0.433</v>
      </c>
      <c r="L9">
        <v>0.71399999999999997</v>
      </c>
      <c r="M9">
        <v>3.1</v>
      </c>
      <c r="N9">
        <v>770.27</v>
      </c>
      <c r="O9" s="12">
        <v>179764775</v>
      </c>
      <c r="P9" s="12">
        <v>1853988</v>
      </c>
      <c r="Q9">
        <v>1.9800000000000002E-2</v>
      </c>
      <c r="R9">
        <v>5.9818730000000004E-3</v>
      </c>
      <c r="S9" s="12">
        <v>11446</v>
      </c>
      <c r="T9">
        <v>0.57230000000000003</v>
      </c>
      <c r="U9" s="12">
        <v>4843</v>
      </c>
      <c r="V9" s="12">
        <v>890907</v>
      </c>
    </row>
    <row r="10" spans="1:22">
      <c r="A10" t="s">
        <v>90</v>
      </c>
      <c r="B10">
        <v>2</v>
      </c>
      <c r="C10">
        <v>10</v>
      </c>
      <c r="D10" t="s">
        <v>40</v>
      </c>
      <c r="E10">
        <v>0.193</v>
      </c>
      <c r="F10">
        <v>0.153</v>
      </c>
      <c r="G10">
        <v>8.5000000000000006E-3</v>
      </c>
      <c r="H10">
        <v>1.52E-2</v>
      </c>
      <c r="I10">
        <v>0.80500000000000005</v>
      </c>
      <c r="J10">
        <v>0.56000000000000005</v>
      </c>
      <c r="K10">
        <v>0.45</v>
      </c>
      <c r="L10">
        <v>0.69</v>
      </c>
      <c r="M10">
        <v>3</v>
      </c>
      <c r="N10" s="12">
        <v>6207788</v>
      </c>
      <c r="O10" s="12">
        <v>1840663</v>
      </c>
      <c r="P10" s="12">
        <v>1721492</v>
      </c>
      <c r="Q10">
        <v>2.3699999999999999E-2</v>
      </c>
      <c r="R10">
        <v>7.1601210000000002E-3</v>
      </c>
      <c r="S10" s="12">
        <v>10368</v>
      </c>
      <c r="T10">
        <v>0.51839999999999997</v>
      </c>
      <c r="U10" s="12">
        <v>46004</v>
      </c>
      <c r="V10" s="12">
        <v>8048451</v>
      </c>
    </row>
    <row r="11" spans="1:22">
      <c r="A11" t="s">
        <v>90</v>
      </c>
      <c r="B11">
        <v>2</v>
      </c>
      <c r="C11">
        <v>10</v>
      </c>
      <c r="D11" t="s">
        <v>40</v>
      </c>
      <c r="E11">
        <v>0.19500000000000001</v>
      </c>
      <c r="F11">
        <v>0.157</v>
      </c>
      <c r="G11">
        <v>1.21E-2</v>
      </c>
      <c r="H11">
        <v>1.3100000000000001E-2</v>
      </c>
      <c r="I11">
        <v>0.81</v>
      </c>
      <c r="J11">
        <v>0.53600000000000003</v>
      </c>
      <c r="K11">
        <v>0.47299999999999998</v>
      </c>
      <c r="L11">
        <v>0.65800000000000003</v>
      </c>
      <c r="M11">
        <v>3</v>
      </c>
      <c r="N11" s="12">
        <v>61724634</v>
      </c>
      <c r="O11" s="12">
        <v>1939183</v>
      </c>
      <c r="P11" s="12">
        <v>1765808</v>
      </c>
      <c r="Q11">
        <v>2.1479999999999999E-2</v>
      </c>
      <c r="R11">
        <v>6.4894260000000004E-3</v>
      </c>
      <c r="S11" s="12">
        <v>14876</v>
      </c>
      <c r="T11">
        <v>0.74399999999999999</v>
      </c>
      <c r="U11" s="12">
        <v>46826</v>
      </c>
      <c r="V11" s="12">
        <v>5303596</v>
      </c>
    </row>
    <row r="12" spans="1:22">
      <c r="A12" t="s">
        <v>90</v>
      </c>
      <c r="B12">
        <v>2</v>
      </c>
      <c r="C12">
        <v>10</v>
      </c>
      <c r="D12" t="s">
        <v>40</v>
      </c>
      <c r="E12">
        <v>0.193</v>
      </c>
      <c r="F12">
        <v>0.126</v>
      </c>
      <c r="G12">
        <v>8.2000000000000007E-3</v>
      </c>
      <c r="H12">
        <v>1.26E-2</v>
      </c>
      <c r="I12">
        <v>0.80500000000000005</v>
      </c>
      <c r="J12">
        <v>0.52600000000000002</v>
      </c>
      <c r="K12">
        <v>0.48299999999999998</v>
      </c>
      <c r="L12">
        <v>0.64900000000000002</v>
      </c>
      <c r="M12">
        <v>2.9</v>
      </c>
      <c r="N12" s="12">
        <v>5307347</v>
      </c>
      <c r="O12" s="12">
        <v>1624381</v>
      </c>
      <c r="P12" s="12">
        <v>1695367</v>
      </c>
      <c r="Q12">
        <v>2.0799999999999999E-2</v>
      </c>
      <c r="R12">
        <v>6.2839879999999999E-3</v>
      </c>
      <c r="S12" s="12">
        <v>12744</v>
      </c>
      <c r="T12">
        <v>0.63719999999999999</v>
      </c>
      <c r="U12" s="12">
        <v>48088</v>
      </c>
      <c r="V12" s="12">
        <v>6931728</v>
      </c>
    </row>
    <row r="13" spans="1:22">
      <c r="A13" t="s">
        <v>90</v>
      </c>
      <c r="B13">
        <v>2</v>
      </c>
      <c r="C13">
        <v>10</v>
      </c>
      <c r="D13" t="s">
        <v>40</v>
      </c>
      <c r="E13">
        <v>0.19900000000000001</v>
      </c>
      <c r="F13">
        <v>0.14499999999999999</v>
      </c>
      <c r="G13">
        <v>1.0699999999999999E-2</v>
      </c>
      <c r="H13">
        <v>1.37E-2</v>
      </c>
      <c r="I13">
        <v>0.80200000000000005</v>
      </c>
      <c r="J13">
        <v>0.51800000000000002</v>
      </c>
      <c r="K13">
        <v>0.49</v>
      </c>
      <c r="L13">
        <v>0.64100000000000001</v>
      </c>
      <c r="M13">
        <v>2.9</v>
      </c>
      <c r="N13" s="12">
        <v>5294182</v>
      </c>
      <c r="O13" s="12">
        <v>1786364</v>
      </c>
      <c r="P13" s="12">
        <v>1287905</v>
      </c>
      <c r="Q13">
        <v>2.4400000000000002E-2</v>
      </c>
      <c r="R13">
        <v>7.3716010000000002E-3</v>
      </c>
      <c r="S13" s="12">
        <v>12274</v>
      </c>
      <c r="T13">
        <v>0.61399999999999999</v>
      </c>
      <c r="U13" s="12">
        <v>49242</v>
      </c>
      <c r="V13" s="12">
        <v>7080546</v>
      </c>
    </row>
    <row r="14" spans="1:22">
      <c r="A14" t="s">
        <v>90</v>
      </c>
      <c r="B14">
        <v>3</v>
      </c>
      <c r="C14">
        <v>13</v>
      </c>
      <c r="D14" t="s">
        <v>40</v>
      </c>
      <c r="E14">
        <v>0.192</v>
      </c>
      <c r="F14">
        <v>0.17199999999999999</v>
      </c>
      <c r="G14">
        <v>8.9999999999999993E-3</v>
      </c>
      <c r="H14">
        <v>1.0999999999999999E-2</v>
      </c>
      <c r="I14">
        <v>0.79025000000000001</v>
      </c>
      <c r="J14">
        <v>0.61099999999999999</v>
      </c>
      <c r="K14">
        <v>0.40400000000000003</v>
      </c>
      <c r="L14">
        <v>0.79100000000000004</v>
      </c>
      <c r="M14">
        <v>3.3</v>
      </c>
      <c r="N14" s="12">
        <v>7413594</v>
      </c>
      <c r="O14" s="12">
        <v>2091256</v>
      </c>
      <c r="P14" s="12">
        <v>1618882</v>
      </c>
      <c r="Q14">
        <v>1.925E-2</v>
      </c>
      <c r="R14">
        <v>4.4736230000000004E-3</v>
      </c>
      <c r="S14" s="12">
        <v>14818</v>
      </c>
      <c r="T14">
        <v>0.74099999999999999</v>
      </c>
      <c r="U14" s="12">
        <v>49832</v>
      </c>
      <c r="V14" s="12">
        <v>9936934</v>
      </c>
    </row>
    <row r="15" spans="1:22">
      <c r="A15" t="s">
        <v>90</v>
      </c>
      <c r="B15">
        <v>3</v>
      </c>
      <c r="C15">
        <v>13</v>
      </c>
      <c r="D15" t="s">
        <v>40</v>
      </c>
      <c r="E15">
        <v>0.189</v>
      </c>
      <c r="F15">
        <v>0.14799999999999999</v>
      </c>
      <c r="G15">
        <v>8.0000000000000002E-3</v>
      </c>
      <c r="H15">
        <v>1.0999999999999999E-2</v>
      </c>
      <c r="I15">
        <v>0.79</v>
      </c>
      <c r="J15">
        <v>0.50900000000000001</v>
      </c>
      <c r="K15">
        <v>0.502</v>
      </c>
      <c r="L15">
        <v>0.63800000000000001</v>
      </c>
      <c r="M15">
        <v>2.7</v>
      </c>
      <c r="N15" s="12">
        <v>6375266</v>
      </c>
      <c r="O15" s="12">
        <v>2090976</v>
      </c>
      <c r="P15" s="12">
        <v>2196375</v>
      </c>
      <c r="Q15">
        <v>1.9E-2</v>
      </c>
      <c r="R15">
        <v>4.4155239999999997E-3</v>
      </c>
      <c r="S15">
        <v>0.87419999999999998</v>
      </c>
      <c r="T15">
        <v>0.43759999999999999</v>
      </c>
      <c r="U15" s="12">
        <v>46484</v>
      </c>
      <c r="V15" s="12">
        <v>8466242</v>
      </c>
    </row>
    <row r="16" spans="1:22">
      <c r="A16" t="s">
        <v>90</v>
      </c>
      <c r="B16">
        <v>3</v>
      </c>
      <c r="C16">
        <v>13</v>
      </c>
      <c r="D16" t="s">
        <v>40</v>
      </c>
      <c r="E16">
        <v>0.18659999999999999</v>
      </c>
      <c r="F16">
        <v>0.154</v>
      </c>
      <c r="G16">
        <v>8.0000000000000002E-3</v>
      </c>
      <c r="H16">
        <v>1.0999999999999999E-2</v>
      </c>
      <c r="I16">
        <v>0.79600000000000004</v>
      </c>
      <c r="J16">
        <v>0.64100000000000001</v>
      </c>
      <c r="K16">
        <v>0.371</v>
      </c>
      <c r="L16">
        <v>0.79700000000000004</v>
      </c>
      <c r="M16">
        <v>3.5</v>
      </c>
      <c r="N16" s="12">
        <v>6018063</v>
      </c>
      <c r="O16" s="12">
        <v>2162873</v>
      </c>
      <c r="P16" s="12">
        <v>1758103</v>
      </c>
      <c r="Q16">
        <v>1.9E-2</v>
      </c>
      <c r="R16">
        <v>4.4155239999999997E-3</v>
      </c>
      <c r="S16" s="12">
        <v>11318</v>
      </c>
      <c r="T16">
        <v>0.56620000000000004</v>
      </c>
      <c r="U16" s="12">
        <v>50624</v>
      </c>
      <c r="V16" s="12">
        <v>8180936</v>
      </c>
    </row>
    <row r="17" spans="1:22">
      <c r="A17" t="s">
        <v>90</v>
      </c>
      <c r="B17">
        <v>3</v>
      </c>
      <c r="C17">
        <v>13</v>
      </c>
      <c r="D17" t="s">
        <v>40</v>
      </c>
      <c r="E17">
        <v>0.192</v>
      </c>
      <c r="F17">
        <v>0.13200000000000001</v>
      </c>
      <c r="G17">
        <v>8.9999999999999993E-3</v>
      </c>
      <c r="H17">
        <v>1.0999999999999999E-2</v>
      </c>
      <c r="I17">
        <v>0.79025000000000001</v>
      </c>
      <c r="J17">
        <v>0.58799999999999997</v>
      </c>
      <c r="K17">
        <v>0.41299999999999998</v>
      </c>
      <c r="L17">
        <v>0.72899999999999998</v>
      </c>
      <c r="M17">
        <v>3.2</v>
      </c>
      <c r="N17" s="12">
        <v>7234127</v>
      </c>
      <c r="O17" s="12">
        <v>2091256</v>
      </c>
      <c r="P17" s="12">
        <v>2389528</v>
      </c>
      <c r="Q17">
        <v>0.02</v>
      </c>
      <c r="R17">
        <v>4.6479199999999998E-3</v>
      </c>
      <c r="S17" s="12">
        <v>11046</v>
      </c>
      <c r="T17">
        <v>0.55230000000000001</v>
      </c>
      <c r="U17" s="12">
        <v>42578</v>
      </c>
      <c r="V17" s="12">
        <v>8564918</v>
      </c>
    </row>
    <row r="18" spans="1:22">
      <c r="A18" t="s">
        <v>90</v>
      </c>
      <c r="B18">
        <v>3</v>
      </c>
      <c r="C18">
        <v>13</v>
      </c>
      <c r="D18" t="s">
        <v>40</v>
      </c>
      <c r="E18">
        <v>0.185</v>
      </c>
      <c r="F18">
        <v>0.14399999999999999</v>
      </c>
      <c r="G18">
        <v>8.0000000000000002E-3</v>
      </c>
      <c r="H18">
        <v>1.0999999999999999E-2</v>
      </c>
      <c r="I18">
        <v>0.78400000000000003</v>
      </c>
      <c r="J18">
        <v>0.60699999999999998</v>
      </c>
      <c r="K18">
        <v>0.39500000000000002</v>
      </c>
      <c r="L18">
        <v>0.77300000000000002</v>
      </c>
      <c r="M18">
        <v>3.3</v>
      </c>
      <c r="N18" s="12">
        <v>6718144</v>
      </c>
      <c r="O18" s="12">
        <v>1894017</v>
      </c>
      <c r="P18" s="12">
        <v>1572542</v>
      </c>
      <c r="Q18">
        <v>1.9E-2</v>
      </c>
      <c r="R18">
        <v>4.4155239999999997E-3</v>
      </c>
      <c r="S18" s="12">
        <v>12148</v>
      </c>
      <c r="T18">
        <v>0.60740000000000005</v>
      </c>
      <c r="U18" s="12">
        <v>46144</v>
      </c>
      <c r="V18" s="12">
        <v>8612161</v>
      </c>
    </row>
    <row r="19" spans="1:22">
      <c r="A19" t="s">
        <v>90</v>
      </c>
      <c r="B19">
        <v>3</v>
      </c>
      <c r="C19">
        <v>13</v>
      </c>
      <c r="D19" t="s">
        <v>40</v>
      </c>
      <c r="E19">
        <v>0.17499999999999999</v>
      </c>
      <c r="F19">
        <v>0.124</v>
      </c>
      <c r="G19">
        <v>8.3999999999999995E-3</v>
      </c>
      <c r="H19">
        <v>1.0999999999999999E-2</v>
      </c>
      <c r="I19">
        <v>0.79100000000000004</v>
      </c>
      <c r="J19">
        <v>0.51600000000000001</v>
      </c>
      <c r="K19">
        <v>0.48899999999999999</v>
      </c>
      <c r="L19">
        <v>0.65</v>
      </c>
      <c r="M19">
        <v>2.8</v>
      </c>
      <c r="N19" s="12">
        <v>7600895</v>
      </c>
      <c r="O19" s="12">
        <v>2217158</v>
      </c>
      <c r="P19" s="12">
        <v>2416759</v>
      </c>
      <c r="Q19">
        <v>1.925E-2</v>
      </c>
      <c r="R19">
        <v>4.4736230000000004E-3</v>
      </c>
      <c r="S19">
        <v>0.93879999999999997</v>
      </c>
      <c r="T19">
        <v>0.46939999999999998</v>
      </c>
      <c r="U19" s="12">
        <v>48858</v>
      </c>
      <c r="V19" s="12">
        <v>9818053</v>
      </c>
    </row>
    <row r="20" spans="1:22">
      <c r="A20" t="s">
        <v>90</v>
      </c>
      <c r="B20">
        <v>4</v>
      </c>
      <c r="C20">
        <v>7</v>
      </c>
      <c r="D20" t="s">
        <v>41</v>
      </c>
      <c r="E20">
        <v>6.4000000000000001E-2</v>
      </c>
      <c r="F20">
        <v>0.125</v>
      </c>
      <c r="G20">
        <v>2E-3</v>
      </c>
      <c r="H20">
        <v>0.01</v>
      </c>
      <c r="I20">
        <v>0.82</v>
      </c>
      <c r="J20">
        <v>0.59799999999999998</v>
      </c>
      <c r="K20">
        <v>0.40500000000000003</v>
      </c>
      <c r="L20">
        <v>0.72699999999999998</v>
      </c>
      <c r="M20">
        <v>3.4</v>
      </c>
      <c r="N20" s="12">
        <v>4705348</v>
      </c>
      <c r="O20" s="12">
        <v>3030982</v>
      </c>
      <c r="P20" s="12">
        <v>1000609</v>
      </c>
      <c r="Q20">
        <v>1.2E-2</v>
      </c>
      <c r="R20">
        <v>4.8403359999999998E-3</v>
      </c>
      <c r="S20" s="12">
        <v>11504</v>
      </c>
      <c r="T20">
        <v>0.57540000000000002</v>
      </c>
      <c r="U20" s="12">
        <v>3371</v>
      </c>
      <c r="V20" s="12">
        <v>773633</v>
      </c>
    </row>
    <row r="21" spans="1:22">
      <c r="A21" t="s">
        <v>90</v>
      </c>
      <c r="B21">
        <v>4</v>
      </c>
      <c r="C21">
        <v>7</v>
      </c>
      <c r="D21" t="s">
        <v>41</v>
      </c>
      <c r="E21">
        <v>9.4E-2</v>
      </c>
      <c r="F21">
        <v>0.112</v>
      </c>
      <c r="G21">
        <v>3.0000000000000001E-3</v>
      </c>
      <c r="H21">
        <v>8.9999999999999993E-3</v>
      </c>
      <c r="I21">
        <v>0.80600000000000005</v>
      </c>
      <c r="J21">
        <v>0.59450000000000003</v>
      </c>
      <c r="K21">
        <v>0.417333333333333</v>
      </c>
      <c r="L21">
        <v>0.72524999999999995</v>
      </c>
      <c r="M21">
        <v>3.4</v>
      </c>
      <c r="N21" s="12">
        <v>5113858</v>
      </c>
      <c r="O21" s="12">
        <v>2206467</v>
      </c>
      <c r="P21" s="12">
        <v>769321</v>
      </c>
      <c r="Q21">
        <v>1.2E-2</v>
      </c>
      <c r="R21">
        <v>4.8403359999999998E-3</v>
      </c>
      <c r="S21" s="12">
        <v>110856</v>
      </c>
      <c r="T21">
        <v>0.55452000000000001</v>
      </c>
      <c r="U21" s="12">
        <v>3239</v>
      </c>
      <c r="V21" s="12">
        <v>7320325</v>
      </c>
    </row>
    <row r="22" spans="1:22">
      <c r="A22" t="s">
        <v>90</v>
      </c>
      <c r="B22">
        <v>4</v>
      </c>
      <c r="C22">
        <v>7</v>
      </c>
      <c r="D22" t="s">
        <v>41</v>
      </c>
      <c r="E22">
        <v>9.1999999999999998E-2</v>
      </c>
      <c r="F22">
        <v>0.13200000000000001</v>
      </c>
      <c r="G22">
        <v>3.0000000000000001E-3</v>
      </c>
      <c r="H22">
        <v>1.0999999999999999E-2</v>
      </c>
      <c r="I22">
        <v>0.81</v>
      </c>
      <c r="J22">
        <v>0.59450000000000003</v>
      </c>
      <c r="K22">
        <v>0.435</v>
      </c>
      <c r="L22">
        <v>0.72524999999999995</v>
      </c>
      <c r="M22">
        <v>3.2</v>
      </c>
      <c r="N22" s="12">
        <v>3736707</v>
      </c>
      <c r="O22" s="12">
        <v>2201198</v>
      </c>
      <c r="P22" s="12">
        <v>1126874</v>
      </c>
      <c r="Q22">
        <v>1.4E-2</v>
      </c>
      <c r="R22">
        <v>5.6470590000000003E-3</v>
      </c>
      <c r="S22" s="12">
        <v>1065</v>
      </c>
      <c r="T22">
        <v>0.53259999999999996</v>
      </c>
      <c r="U22" s="12">
        <v>35754</v>
      </c>
      <c r="V22" s="12">
        <v>5937905</v>
      </c>
    </row>
    <row r="23" spans="1:22">
      <c r="A23" t="s">
        <v>90</v>
      </c>
      <c r="B23">
        <v>4</v>
      </c>
      <c r="C23">
        <v>7</v>
      </c>
      <c r="D23" t="s">
        <v>41</v>
      </c>
      <c r="E23">
        <v>7.2999999999999995E-2</v>
      </c>
      <c r="F23">
        <v>0.13200000000000001</v>
      </c>
      <c r="G23">
        <v>2E-3</v>
      </c>
      <c r="H23">
        <v>1.0999999999999999E-2</v>
      </c>
      <c r="I23">
        <v>0.81699999999999995</v>
      </c>
      <c r="J23">
        <v>0.59299999999999997</v>
      </c>
      <c r="K23">
        <v>0.417333333333333</v>
      </c>
      <c r="L23">
        <v>0.72399999999999998</v>
      </c>
      <c r="M23">
        <v>3.3</v>
      </c>
      <c r="N23" s="12">
        <v>5893637</v>
      </c>
      <c r="O23" s="12">
        <v>2810039</v>
      </c>
      <c r="P23" s="12">
        <v>864706</v>
      </c>
      <c r="Q23">
        <v>1.2999999999999999E-2</v>
      </c>
      <c r="R23">
        <v>5.2436970000000003E-3</v>
      </c>
      <c r="S23" s="12">
        <v>10938</v>
      </c>
      <c r="T23">
        <v>0.54720000000000002</v>
      </c>
      <c r="U23" s="12">
        <v>30634</v>
      </c>
      <c r="V23" s="12">
        <v>8703676</v>
      </c>
    </row>
    <row r="24" spans="1:22">
      <c r="A24" t="s">
        <v>90</v>
      </c>
      <c r="B24">
        <v>4</v>
      </c>
      <c r="C24">
        <v>7</v>
      </c>
      <c r="D24" t="s">
        <v>41</v>
      </c>
      <c r="E24">
        <v>9.6000000000000002E-2</v>
      </c>
      <c r="F24">
        <v>0.13200000000000001</v>
      </c>
      <c r="G24">
        <v>2.3999999999999998E-3</v>
      </c>
      <c r="H24">
        <v>1.0200000000000001E-2</v>
      </c>
      <c r="I24">
        <v>0.81299999999999994</v>
      </c>
      <c r="J24">
        <v>0.59499999999999997</v>
      </c>
      <c r="K24">
        <v>0.417333333333333</v>
      </c>
      <c r="L24">
        <v>0.73</v>
      </c>
      <c r="M24">
        <v>3.3</v>
      </c>
      <c r="N24" s="12">
        <v>4787096</v>
      </c>
      <c r="O24" s="12">
        <v>1987971</v>
      </c>
      <c r="P24" s="12">
        <v>76176</v>
      </c>
      <c r="Q24">
        <v>1.26E-2</v>
      </c>
      <c r="R24">
        <v>5.0823528000000003E-3</v>
      </c>
      <c r="S24" s="12">
        <v>11706</v>
      </c>
      <c r="T24">
        <v>0.58560000000000001</v>
      </c>
      <c r="U24" s="12">
        <v>31428</v>
      </c>
      <c r="V24" s="12">
        <v>6775067</v>
      </c>
    </row>
    <row r="25" spans="1:22">
      <c r="A25" t="s">
        <v>90</v>
      </c>
      <c r="B25">
        <v>4</v>
      </c>
      <c r="C25">
        <v>7</v>
      </c>
      <c r="D25" t="s">
        <v>41</v>
      </c>
      <c r="E25">
        <v>8.1000000000000003E-2</v>
      </c>
      <c r="F25">
        <v>0.121</v>
      </c>
      <c r="G25">
        <v>2E-3</v>
      </c>
      <c r="H25">
        <v>0.01</v>
      </c>
      <c r="I25">
        <v>0.81899999999999995</v>
      </c>
      <c r="J25">
        <v>0.59199999999999997</v>
      </c>
      <c r="K25">
        <v>0.41199999999999998</v>
      </c>
      <c r="L25">
        <v>0.72</v>
      </c>
      <c r="M25">
        <v>3.3</v>
      </c>
      <c r="N25" s="12">
        <v>7317317</v>
      </c>
      <c r="O25" s="12">
        <v>3050337</v>
      </c>
      <c r="P25" s="12">
        <v>1067056</v>
      </c>
      <c r="Q25">
        <v>1.2E-2</v>
      </c>
      <c r="R25">
        <v>4.8403359999999998E-3</v>
      </c>
      <c r="S25" s="12">
        <v>1063</v>
      </c>
      <c r="T25">
        <v>0.53180000000000005</v>
      </c>
      <c r="U25" s="12">
        <v>2911</v>
      </c>
      <c r="V25" s="12">
        <v>10367654</v>
      </c>
    </row>
    <row r="26" spans="1:22">
      <c r="A26" t="s">
        <v>90</v>
      </c>
      <c r="B26">
        <v>5</v>
      </c>
      <c r="C26">
        <v>10</v>
      </c>
      <c r="D26" t="s">
        <v>41</v>
      </c>
      <c r="E26">
        <v>0.17299999999999999</v>
      </c>
      <c r="F26">
        <v>9.2999999999999999E-2</v>
      </c>
      <c r="G26">
        <v>6.4000000000000003E-3</v>
      </c>
      <c r="H26">
        <v>6.0000000000000001E-3</v>
      </c>
      <c r="I26">
        <v>0.80800000000000005</v>
      </c>
      <c r="J26">
        <v>0.60599999999999998</v>
      </c>
      <c r="K26">
        <v>0.39400000000000002</v>
      </c>
      <c r="L26">
        <v>0.75</v>
      </c>
      <c r="M26">
        <v>3.3</v>
      </c>
      <c r="N26" s="12">
        <v>4429059</v>
      </c>
      <c r="O26" s="12">
        <v>2806229</v>
      </c>
      <c r="P26" s="12">
        <v>62593</v>
      </c>
      <c r="Q26">
        <v>1.24E-2</v>
      </c>
      <c r="R26">
        <v>3.5011759999999999E-3</v>
      </c>
      <c r="S26" s="12">
        <v>11074</v>
      </c>
      <c r="T26">
        <v>0.55369999999999997</v>
      </c>
      <c r="U26" s="12">
        <v>47768</v>
      </c>
      <c r="V26" s="12">
        <v>7235288</v>
      </c>
    </row>
    <row r="27" spans="1:22">
      <c r="A27" t="s">
        <v>90</v>
      </c>
      <c r="B27">
        <v>5</v>
      </c>
      <c r="C27">
        <v>10</v>
      </c>
      <c r="D27" t="s">
        <v>41</v>
      </c>
      <c r="E27">
        <v>0.159</v>
      </c>
      <c r="F27">
        <v>0.107</v>
      </c>
      <c r="G27">
        <v>8.6E-3</v>
      </c>
      <c r="H27">
        <v>7.0000000000000001E-3</v>
      </c>
      <c r="I27">
        <v>0.81100000000000005</v>
      </c>
      <c r="J27">
        <v>0.62</v>
      </c>
      <c r="K27">
        <v>0.379</v>
      </c>
      <c r="L27">
        <v>0.76500000000000001</v>
      </c>
      <c r="M27">
        <v>3.4</v>
      </c>
      <c r="N27" s="12">
        <v>5366602</v>
      </c>
      <c r="O27" s="12">
        <v>1737398</v>
      </c>
      <c r="P27" s="12">
        <v>1077085</v>
      </c>
      <c r="Q27">
        <v>1.5599999999999999E-2</v>
      </c>
      <c r="R27">
        <v>4.4047060000000004E-3</v>
      </c>
      <c r="S27" s="12">
        <v>11024</v>
      </c>
      <c r="T27">
        <v>0.55120000000000002</v>
      </c>
      <c r="U27" s="12">
        <v>45418</v>
      </c>
      <c r="V27">
        <v>710.4</v>
      </c>
    </row>
    <row r="28" spans="1:22">
      <c r="A28" t="s">
        <v>90</v>
      </c>
      <c r="B28">
        <v>5</v>
      </c>
      <c r="C28">
        <v>10</v>
      </c>
      <c r="D28" t="s">
        <v>41</v>
      </c>
      <c r="E28">
        <v>0.156</v>
      </c>
      <c r="F28">
        <v>0.10199999999999999</v>
      </c>
      <c r="G28">
        <v>4.8999999999999998E-3</v>
      </c>
      <c r="H28">
        <v>7.0000000000000001E-3</v>
      </c>
      <c r="I28">
        <v>0.81699999999999995</v>
      </c>
      <c r="J28">
        <v>0.57099999999999995</v>
      </c>
      <c r="K28">
        <v>0.42899999999999999</v>
      </c>
      <c r="L28">
        <v>0.69899999999999995</v>
      </c>
      <c r="M28">
        <v>3.2</v>
      </c>
      <c r="N28" s="12">
        <v>6410958</v>
      </c>
      <c r="O28" s="12">
        <v>1889203</v>
      </c>
      <c r="P28" s="12">
        <v>84517</v>
      </c>
      <c r="Q28">
        <v>1.1900000000000001E-2</v>
      </c>
      <c r="R28">
        <v>3.3600000000000001E-3</v>
      </c>
      <c r="S28" s="12">
        <v>10148</v>
      </c>
      <c r="T28">
        <v>0.50739999999999996</v>
      </c>
      <c r="U28" s="12">
        <v>45668</v>
      </c>
      <c r="V28" s="12">
        <v>8300161</v>
      </c>
    </row>
    <row r="29" spans="1:22">
      <c r="A29" t="s">
        <v>90</v>
      </c>
      <c r="B29">
        <v>5</v>
      </c>
      <c r="C29">
        <v>10</v>
      </c>
      <c r="D29" t="s">
        <v>41</v>
      </c>
      <c r="E29">
        <v>0.14099999999999999</v>
      </c>
      <c r="F29">
        <v>0.10025000000000001</v>
      </c>
      <c r="G29">
        <v>4.4000000000000003E-3</v>
      </c>
      <c r="H29">
        <v>9.2999999999999992E-3</v>
      </c>
      <c r="I29">
        <v>0.81200000000000006</v>
      </c>
      <c r="J29">
        <v>0.61599999999999999</v>
      </c>
      <c r="K29">
        <v>0.36599999999999999</v>
      </c>
      <c r="L29">
        <v>0.76500000000000001</v>
      </c>
      <c r="M29">
        <v>3.5</v>
      </c>
      <c r="N29" s="12">
        <v>5313209</v>
      </c>
      <c r="O29" s="12">
        <v>1796682</v>
      </c>
      <c r="P29" s="12">
        <v>1048893</v>
      </c>
      <c r="Q29">
        <v>1.37E-2</v>
      </c>
      <c r="R29">
        <v>3.8682349999999998E-3</v>
      </c>
      <c r="S29">
        <v>0.89480000000000004</v>
      </c>
      <c r="T29">
        <v>0.44779999999999998</v>
      </c>
      <c r="U29" s="12">
        <v>40296</v>
      </c>
      <c r="V29" s="12">
        <v>7109891</v>
      </c>
    </row>
    <row r="30" spans="1:22">
      <c r="A30" t="s">
        <v>90</v>
      </c>
      <c r="B30">
        <v>5</v>
      </c>
      <c r="C30">
        <v>10</v>
      </c>
      <c r="D30" t="s">
        <v>41</v>
      </c>
      <c r="E30">
        <v>0.15</v>
      </c>
      <c r="F30">
        <v>9.9000000000000005E-2</v>
      </c>
      <c r="G30">
        <v>5.7000000000000002E-3</v>
      </c>
      <c r="H30">
        <v>1.01E-2</v>
      </c>
      <c r="I30">
        <v>0.80200000000000005</v>
      </c>
      <c r="J30">
        <v>0.53200000000000003</v>
      </c>
      <c r="K30">
        <v>0.46300000000000002</v>
      </c>
      <c r="L30">
        <v>0.66600000000000004</v>
      </c>
      <c r="M30">
        <v>3</v>
      </c>
      <c r="N30" s="12">
        <v>5650535</v>
      </c>
      <c r="O30" s="12">
        <v>2331623</v>
      </c>
      <c r="P30" s="12">
        <v>1103374</v>
      </c>
      <c r="Q30">
        <v>1.5800000000000002E-2</v>
      </c>
      <c r="R30">
        <v>4.4611759999999999E-3</v>
      </c>
      <c r="S30">
        <v>0.84140000000000004</v>
      </c>
      <c r="T30">
        <v>0.42099999999999999</v>
      </c>
      <c r="U30" s="12">
        <v>44442</v>
      </c>
      <c r="V30" s="12">
        <v>7982158</v>
      </c>
    </row>
    <row r="31" spans="1:22">
      <c r="A31" t="s">
        <v>90</v>
      </c>
      <c r="B31">
        <v>5</v>
      </c>
      <c r="C31">
        <v>10</v>
      </c>
      <c r="D31" t="s">
        <v>41</v>
      </c>
      <c r="E31">
        <v>0.193</v>
      </c>
      <c r="F31">
        <v>0.10025000000000001</v>
      </c>
      <c r="G31">
        <v>6.6E-3</v>
      </c>
      <c r="H31">
        <v>1.2699999999999999E-2</v>
      </c>
      <c r="I31">
        <v>0.81299999999999994</v>
      </c>
      <c r="J31">
        <v>0.56100000000000005</v>
      </c>
      <c r="K31">
        <v>0.43</v>
      </c>
      <c r="L31">
        <v>0.69399999999999995</v>
      </c>
      <c r="M31">
        <v>3.1</v>
      </c>
      <c r="N31" s="12">
        <v>6451705</v>
      </c>
      <c r="O31" s="12">
        <v>2433437</v>
      </c>
      <c r="P31" s="12">
        <v>873859</v>
      </c>
      <c r="Q31">
        <v>1.9300000000000001E-2</v>
      </c>
      <c r="R31">
        <v>5.4494119999999998E-3</v>
      </c>
      <c r="S31" s="12">
        <v>11938</v>
      </c>
      <c r="T31">
        <v>0.59699999999999998</v>
      </c>
      <c r="U31" s="12">
        <v>48214</v>
      </c>
      <c r="V31" s="12">
        <v>8885142</v>
      </c>
    </row>
    <row r="32" spans="1:22">
      <c r="A32" t="s">
        <v>90</v>
      </c>
      <c r="B32">
        <v>6</v>
      </c>
      <c r="C32">
        <v>13</v>
      </c>
      <c r="D32" t="s">
        <v>41</v>
      </c>
      <c r="E32">
        <v>0.17699999999999999</v>
      </c>
      <c r="F32">
        <v>0.11600000000000001</v>
      </c>
      <c r="G32">
        <v>6.0000000000000001E-3</v>
      </c>
      <c r="H32">
        <v>8.9999999999999993E-3</v>
      </c>
      <c r="I32">
        <v>0.81</v>
      </c>
      <c r="J32">
        <v>0.57899999999999996</v>
      </c>
      <c r="K32">
        <v>0.42399999999999999</v>
      </c>
      <c r="L32">
        <v>0.71299999999999997</v>
      </c>
      <c r="M32">
        <v>3.2</v>
      </c>
      <c r="N32" s="12">
        <v>626533</v>
      </c>
      <c r="O32" s="12">
        <v>2058226</v>
      </c>
      <c r="P32" s="12">
        <v>266603</v>
      </c>
      <c r="Q32">
        <v>1.4999999999999999E-2</v>
      </c>
      <c r="R32">
        <v>3.2579190000000002E-3</v>
      </c>
      <c r="S32" s="12">
        <v>12077</v>
      </c>
      <c r="T32">
        <v>0.60397500000000004</v>
      </c>
      <c r="U32" s="12">
        <v>46472</v>
      </c>
      <c r="V32" s="12">
        <v>8323556</v>
      </c>
    </row>
    <row r="33" spans="1:22">
      <c r="A33" t="s">
        <v>90</v>
      </c>
      <c r="B33">
        <v>6</v>
      </c>
      <c r="C33">
        <v>13</v>
      </c>
      <c r="D33" t="s">
        <v>41</v>
      </c>
      <c r="E33">
        <v>0.17100000000000001</v>
      </c>
      <c r="F33">
        <v>0.156</v>
      </c>
      <c r="G33">
        <v>7.0000000000000001E-3</v>
      </c>
      <c r="H33">
        <v>1.2999999999999999E-2</v>
      </c>
      <c r="I33">
        <v>0.80100000000000005</v>
      </c>
      <c r="J33">
        <v>0.57499999999999996</v>
      </c>
      <c r="K33">
        <v>0.42599999999999999</v>
      </c>
      <c r="L33">
        <v>0.71699999999999997</v>
      </c>
      <c r="M33">
        <v>3.2</v>
      </c>
      <c r="N33" s="12">
        <v>6015116</v>
      </c>
      <c r="O33" s="12">
        <v>1855812</v>
      </c>
      <c r="P33" s="12">
        <v>1853712</v>
      </c>
      <c r="Q33">
        <v>0.02</v>
      </c>
      <c r="R33">
        <v>4.3438909999999999E-3</v>
      </c>
      <c r="S33" s="12">
        <v>12898</v>
      </c>
      <c r="T33">
        <v>0.64490000000000003</v>
      </c>
      <c r="U33" s="12">
        <v>41734</v>
      </c>
      <c r="V33" s="12">
        <v>7870928</v>
      </c>
    </row>
    <row r="34" spans="1:22">
      <c r="A34" t="s">
        <v>90</v>
      </c>
      <c r="B34">
        <v>6</v>
      </c>
      <c r="C34">
        <v>13</v>
      </c>
      <c r="D34" t="s">
        <v>41</v>
      </c>
      <c r="E34">
        <v>0.17</v>
      </c>
      <c r="F34">
        <v>0.14299999999999999</v>
      </c>
      <c r="G34">
        <v>7.0000000000000001E-3</v>
      </c>
      <c r="H34">
        <v>1.2E-2</v>
      </c>
      <c r="I34">
        <v>0.79500000000000004</v>
      </c>
      <c r="J34">
        <v>0.55400000000000005</v>
      </c>
      <c r="K34">
        <v>0.45100000000000001</v>
      </c>
      <c r="L34">
        <v>0.69399999999999995</v>
      </c>
      <c r="M34">
        <v>3.26</v>
      </c>
      <c r="N34">
        <v>728.87</v>
      </c>
      <c r="O34" s="12">
        <v>167383</v>
      </c>
      <c r="P34" s="12">
        <v>283621</v>
      </c>
      <c r="Q34">
        <v>1.9E-2</v>
      </c>
      <c r="R34">
        <v>4.1266970000000004E-3</v>
      </c>
      <c r="S34" s="12">
        <v>11588</v>
      </c>
      <c r="T34">
        <v>0.57940000000000003</v>
      </c>
      <c r="U34" s="12">
        <v>42922</v>
      </c>
      <c r="V34" s="12">
        <v>896253</v>
      </c>
    </row>
    <row r="35" spans="1:22">
      <c r="A35" t="s">
        <v>90</v>
      </c>
      <c r="B35">
        <v>6</v>
      </c>
      <c r="C35">
        <v>13</v>
      </c>
      <c r="D35" t="s">
        <v>41</v>
      </c>
      <c r="E35">
        <v>0.17699999999999999</v>
      </c>
      <c r="F35">
        <v>0.17799999999999999</v>
      </c>
      <c r="G35">
        <v>8.9999999999999993E-3</v>
      </c>
      <c r="H35">
        <v>1.2999999999999999E-2</v>
      </c>
      <c r="I35">
        <v>0.81299999999999994</v>
      </c>
      <c r="J35">
        <v>0.58399999999999996</v>
      </c>
      <c r="K35">
        <v>0.42099999999999999</v>
      </c>
      <c r="L35">
        <v>0.71599999999999997</v>
      </c>
      <c r="M35">
        <v>3.3</v>
      </c>
      <c r="N35" s="12">
        <v>5967884</v>
      </c>
      <c r="O35" s="12">
        <v>2479982</v>
      </c>
      <c r="P35" s="12">
        <v>2332878</v>
      </c>
      <c r="Q35">
        <v>2.1999999999999999E-2</v>
      </c>
      <c r="R35">
        <v>4.7782809999999997E-3</v>
      </c>
      <c r="S35" s="12">
        <v>12077</v>
      </c>
      <c r="T35">
        <v>0.60397500000000004</v>
      </c>
      <c r="U35" s="12">
        <v>47188</v>
      </c>
      <c r="V35" s="12">
        <v>8447866</v>
      </c>
    </row>
    <row r="36" spans="1:22">
      <c r="A36" t="s">
        <v>90</v>
      </c>
      <c r="B36">
        <v>6</v>
      </c>
      <c r="C36">
        <v>13</v>
      </c>
      <c r="D36" t="s">
        <v>41</v>
      </c>
      <c r="E36">
        <v>0.17499999999999999</v>
      </c>
      <c r="F36">
        <v>0.14299999999999999</v>
      </c>
      <c r="G36">
        <v>7.0000000000000001E-3</v>
      </c>
      <c r="H36">
        <v>1.0999999999999999E-2</v>
      </c>
      <c r="I36">
        <v>0.80100000000000005</v>
      </c>
      <c r="J36">
        <v>0.59799999999999998</v>
      </c>
      <c r="K36">
        <v>0.40300000000000002</v>
      </c>
      <c r="L36">
        <v>0.746</v>
      </c>
      <c r="M36">
        <v>3.3</v>
      </c>
      <c r="N36" s="12">
        <v>5362205</v>
      </c>
      <c r="O36" s="12">
        <v>2663361</v>
      </c>
      <c r="P36" s="12">
        <v>1341391</v>
      </c>
      <c r="Q36">
        <v>1.7999999999999999E-2</v>
      </c>
      <c r="R36">
        <v>3.9095019999999996E-3</v>
      </c>
      <c r="S36">
        <v>1.17</v>
      </c>
      <c r="T36">
        <v>0.58540000000000003</v>
      </c>
      <c r="U36" s="12">
        <v>42748</v>
      </c>
      <c r="V36" s="12">
        <v>8025566</v>
      </c>
    </row>
    <row r="37" spans="1:22">
      <c r="A37" t="s">
        <v>90</v>
      </c>
      <c r="B37">
        <v>6</v>
      </c>
      <c r="C37">
        <v>13</v>
      </c>
      <c r="D37" t="s">
        <v>41</v>
      </c>
      <c r="E37">
        <v>0.192</v>
      </c>
      <c r="F37">
        <v>0.13600000000000001</v>
      </c>
      <c r="G37">
        <v>8.9999999999999993E-3</v>
      </c>
      <c r="H37">
        <v>1.0999999999999999E-2</v>
      </c>
      <c r="I37">
        <v>0.79700000000000004</v>
      </c>
      <c r="J37">
        <v>0.60299999999999998</v>
      </c>
      <c r="K37">
        <v>0.4</v>
      </c>
      <c r="L37">
        <v>0.755</v>
      </c>
      <c r="M37">
        <v>3.3</v>
      </c>
      <c r="N37" s="12">
        <v>7326085</v>
      </c>
      <c r="O37" s="12">
        <v>2496678</v>
      </c>
      <c r="P37" s="12">
        <v>164408</v>
      </c>
      <c r="Q37">
        <v>0.02</v>
      </c>
      <c r="R37">
        <v>4.3438909999999999E-3</v>
      </c>
      <c r="S37" s="12">
        <v>12122</v>
      </c>
      <c r="T37">
        <v>0.60619999999999996</v>
      </c>
      <c r="U37" s="12">
        <v>49512</v>
      </c>
      <c r="V37" s="12">
        <v>9822763</v>
      </c>
    </row>
    <row r="38" spans="1:22">
      <c r="A38" t="s">
        <v>90</v>
      </c>
      <c r="B38">
        <v>7</v>
      </c>
      <c r="C38">
        <v>7</v>
      </c>
      <c r="D38" t="s">
        <v>42</v>
      </c>
      <c r="E38">
        <v>8.5999999999999993E-2</v>
      </c>
      <c r="F38">
        <v>0.14099999999999999</v>
      </c>
      <c r="G38">
        <v>2E-3</v>
      </c>
      <c r="H38">
        <v>0.01</v>
      </c>
      <c r="I38">
        <v>0.81225000000000003</v>
      </c>
      <c r="J38">
        <v>0.60599999999999998</v>
      </c>
      <c r="K38">
        <v>0.39700000000000002</v>
      </c>
      <c r="L38">
        <v>0.751</v>
      </c>
      <c r="M38" s="12">
        <v>3525</v>
      </c>
      <c r="N38" s="12">
        <v>4635509</v>
      </c>
      <c r="O38" s="12">
        <v>1373044</v>
      </c>
      <c r="P38" s="12">
        <v>860733</v>
      </c>
      <c r="Q38">
        <v>1.2E-2</v>
      </c>
      <c r="R38">
        <v>6.878543E-3</v>
      </c>
      <c r="S38">
        <v>1.06</v>
      </c>
      <c r="T38">
        <v>0.5302</v>
      </c>
      <c r="U38" s="12">
        <v>27172</v>
      </c>
      <c r="V38" s="12">
        <v>6008553</v>
      </c>
    </row>
    <row r="39" spans="1:22">
      <c r="A39" t="s">
        <v>90</v>
      </c>
      <c r="B39">
        <v>7</v>
      </c>
      <c r="C39">
        <v>7</v>
      </c>
      <c r="D39" t="s">
        <v>42</v>
      </c>
      <c r="E39">
        <v>6.7000000000000004E-2</v>
      </c>
      <c r="F39">
        <v>0.128</v>
      </c>
      <c r="G39">
        <v>2.2499999999999998E-3</v>
      </c>
      <c r="H39">
        <v>0.01</v>
      </c>
      <c r="I39">
        <v>0.81299999999999994</v>
      </c>
      <c r="J39">
        <v>0.629</v>
      </c>
      <c r="K39">
        <v>0.373</v>
      </c>
      <c r="L39">
        <v>0.77200000000000002</v>
      </c>
      <c r="M39">
        <v>3.5</v>
      </c>
      <c r="N39" s="12">
        <v>4078109</v>
      </c>
      <c r="O39" s="12">
        <v>1181136</v>
      </c>
      <c r="P39">
        <v>79.44</v>
      </c>
      <c r="Q39">
        <v>1.225E-2</v>
      </c>
      <c r="R39">
        <v>7.021846E-3</v>
      </c>
      <c r="S39">
        <v>0.88819999999999999</v>
      </c>
      <c r="T39">
        <v>0.44419999999999998</v>
      </c>
      <c r="U39" s="12">
        <v>29366</v>
      </c>
      <c r="V39" s="12">
        <v>5259245</v>
      </c>
    </row>
    <row r="40" spans="1:22">
      <c r="A40" t="s">
        <v>90</v>
      </c>
      <c r="B40">
        <v>7</v>
      </c>
      <c r="C40">
        <v>7</v>
      </c>
      <c r="D40" t="s">
        <v>42</v>
      </c>
      <c r="E40">
        <v>0.08</v>
      </c>
      <c r="F40">
        <v>0.13500000000000001</v>
      </c>
      <c r="G40">
        <v>2.2499999999999998E-3</v>
      </c>
      <c r="H40">
        <v>0.01</v>
      </c>
      <c r="I40">
        <v>0.81225000000000003</v>
      </c>
      <c r="J40">
        <v>0.65800000000000003</v>
      </c>
      <c r="K40">
        <v>0.34300000000000003</v>
      </c>
      <c r="L40">
        <v>0.80500000000000005</v>
      </c>
      <c r="M40">
        <v>3.6</v>
      </c>
      <c r="N40" s="12">
        <v>43643925</v>
      </c>
      <c r="O40" s="12">
        <v>1226276</v>
      </c>
      <c r="P40" s="12">
        <v>728778</v>
      </c>
      <c r="Q40">
        <v>1.225E-2</v>
      </c>
      <c r="R40">
        <v>7.021846E-3</v>
      </c>
      <c r="S40" s="12">
        <v>11872</v>
      </c>
      <c r="T40">
        <v>0.59360000000000002</v>
      </c>
      <c r="U40" s="12">
        <v>31244</v>
      </c>
      <c r="V40" s="12">
        <v>4387741</v>
      </c>
    </row>
    <row r="41" spans="1:22">
      <c r="A41" t="s">
        <v>90</v>
      </c>
      <c r="B41">
        <v>7</v>
      </c>
      <c r="C41">
        <v>7</v>
      </c>
      <c r="D41" t="s">
        <v>42</v>
      </c>
      <c r="E41">
        <v>8.8999999999999996E-2</v>
      </c>
      <c r="F41">
        <v>0.13400000000000001</v>
      </c>
      <c r="G41">
        <v>2E-3</v>
      </c>
      <c r="H41">
        <v>0.01</v>
      </c>
      <c r="I41">
        <v>0.81299999999999994</v>
      </c>
      <c r="J41">
        <v>0.68899999999999995</v>
      </c>
      <c r="K41">
        <v>0.311</v>
      </c>
      <c r="L41">
        <v>0.84799999999999998</v>
      </c>
      <c r="M41" s="12">
        <v>3525</v>
      </c>
      <c r="N41" s="12">
        <v>43643925</v>
      </c>
      <c r="O41" s="12">
        <v>1226276</v>
      </c>
      <c r="P41" s="12">
        <v>845644</v>
      </c>
      <c r="Q41">
        <v>1.2E-2</v>
      </c>
      <c r="R41">
        <v>6.878543E-3</v>
      </c>
      <c r="S41" s="12">
        <v>12254</v>
      </c>
      <c r="T41">
        <v>0.61299999999999999</v>
      </c>
      <c r="U41" s="12">
        <v>33456</v>
      </c>
      <c r="V41" s="12">
        <v>8746071</v>
      </c>
    </row>
    <row r="42" spans="1:22">
      <c r="A42" t="s">
        <v>90</v>
      </c>
      <c r="B42">
        <v>7</v>
      </c>
      <c r="C42">
        <v>7</v>
      </c>
      <c r="D42" t="s">
        <v>42</v>
      </c>
      <c r="E42">
        <v>9.9000000000000005E-2</v>
      </c>
      <c r="F42">
        <v>0.14199999999999999</v>
      </c>
      <c r="G42">
        <v>3.0000000000000001E-3</v>
      </c>
      <c r="H42">
        <v>0.01</v>
      </c>
      <c r="I42">
        <v>0.81299999999999994</v>
      </c>
      <c r="J42">
        <v>0.624</v>
      </c>
      <c r="K42">
        <v>0.377</v>
      </c>
      <c r="L42">
        <v>0.76700000000000002</v>
      </c>
      <c r="M42">
        <v>3.5</v>
      </c>
      <c r="N42" s="12">
        <v>3868759</v>
      </c>
      <c r="O42" s="12">
        <v>1172328</v>
      </c>
      <c r="P42" s="12">
        <v>76405</v>
      </c>
      <c r="Q42">
        <v>1.2999999999999999E-2</v>
      </c>
      <c r="R42">
        <v>7.451755E-3</v>
      </c>
      <c r="S42">
        <v>0.81579999999999997</v>
      </c>
      <c r="T42">
        <v>0.40820000000000001</v>
      </c>
      <c r="U42" s="12">
        <v>32702</v>
      </c>
      <c r="V42" s="12">
        <v>5041087</v>
      </c>
    </row>
    <row r="43" spans="1:22">
      <c r="A43" t="s">
        <v>90</v>
      </c>
      <c r="B43">
        <v>7</v>
      </c>
      <c r="C43">
        <v>7</v>
      </c>
      <c r="D43" t="s">
        <v>42</v>
      </c>
      <c r="E43">
        <v>9.8000000000000004E-2</v>
      </c>
      <c r="F43">
        <v>0.152</v>
      </c>
      <c r="G43">
        <v>2E-3</v>
      </c>
      <c r="H43">
        <v>0.01</v>
      </c>
      <c r="I43">
        <v>0.81</v>
      </c>
      <c r="J43">
        <v>0.629</v>
      </c>
      <c r="K43">
        <v>0.373</v>
      </c>
      <c r="L43">
        <v>0.77500000000000002</v>
      </c>
      <c r="M43">
        <v>3.5</v>
      </c>
      <c r="N43" s="12">
        <v>4875193</v>
      </c>
      <c r="O43" s="12">
        <v>1178596</v>
      </c>
      <c r="P43" s="12">
        <v>884528</v>
      </c>
      <c r="Q43">
        <v>1.2E-2</v>
      </c>
      <c r="R43">
        <v>6.878543E-3</v>
      </c>
      <c r="S43">
        <v>0.87580000000000002</v>
      </c>
      <c r="T43">
        <v>0.43819999999999998</v>
      </c>
      <c r="U43" s="12">
        <v>34932</v>
      </c>
      <c r="V43" s="12">
        <v>6053789</v>
      </c>
    </row>
    <row r="44" spans="1:22">
      <c r="A44" t="s">
        <v>90</v>
      </c>
      <c r="B44">
        <v>8</v>
      </c>
      <c r="C44">
        <v>10</v>
      </c>
      <c r="D44" t="s">
        <v>42</v>
      </c>
      <c r="E44">
        <v>0.11899999999999999</v>
      </c>
      <c r="F44">
        <v>0.127</v>
      </c>
      <c r="G44">
        <v>5.3E-3</v>
      </c>
      <c r="H44">
        <v>1.26E-2</v>
      </c>
      <c r="I44">
        <v>0.79200000000000004</v>
      </c>
      <c r="J44">
        <v>0.63700000000000001</v>
      </c>
      <c r="K44">
        <v>0.36299999999999999</v>
      </c>
      <c r="L44">
        <v>0.80400000000000005</v>
      </c>
      <c r="M44">
        <v>3.5</v>
      </c>
      <c r="N44" s="12">
        <v>6749648</v>
      </c>
      <c r="O44" s="12">
        <v>2080546</v>
      </c>
      <c r="P44" s="12">
        <v>1030098</v>
      </c>
      <c r="Q44">
        <v>1.7899999999999999E-2</v>
      </c>
      <c r="R44">
        <v>7.1823449999999997E-3</v>
      </c>
      <c r="S44">
        <v>0.75080000000000002</v>
      </c>
      <c r="T44">
        <v>0.37559999999999999</v>
      </c>
      <c r="U44" s="12">
        <v>29282</v>
      </c>
      <c r="V44" s="12">
        <v>8830194</v>
      </c>
    </row>
    <row r="45" spans="1:22">
      <c r="A45" t="s">
        <v>90</v>
      </c>
      <c r="B45">
        <v>8</v>
      </c>
      <c r="C45">
        <v>10</v>
      </c>
      <c r="D45" t="s">
        <v>42</v>
      </c>
      <c r="E45">
        <v>0.12</v>
      </c>
      <c r="F45">
        <v>0.16</v>
      </c>
      <c r="G45">
        <v>4.8999999999999998E-3</v>
      </c>
      <c r="H45">
        <v>1.49E-2</v>
      </c>
      <c r="I45">
        <v>0.79</v>
      </c>
      <c r="J45">
        <v>0.66700000000000004</v>
      </c>
      <c r="K45">
        <v>0.33300000000000002</v>
      </c>
      <c r="L45">
        <v>0.84399999999999997</v>
      </c>
      <c r="M45">
        <v>3.7</v>
      </c>
      <c r="N45" s="12">
        <v>6767867</v>
      </c>
      <c r="O45" s="12">
        <v>2209235</v>
      </c>
      <c r="P45" s="12">
        <v>1312182</v>
      </c>
      <c r="Q45">
        <v>1.9800000000000002E-2</v>
      </c>
      <c r="R45">
        <v>7.9447170000000004E-3</v>
      </c>
      <c r="S45">
        <v>0.69340000000000002</v>
      </c>
      <c r="T45">
        <v>0.3468</v>
      </c>
      <c r="U45" s="12">
        <v>2911</v>
      </c>
      <c r="V45" s="12">
        <v>8977102</v>
      </c>
    </row>
    <row r="46" spans="1:22">
      <c r="A46" t="s">
        <v>90</v>
      </c>
      <c r="B46">
        <v>8</v>
      </c>
      <c r="C46">
        <v>10</v>
      </c>
      <c r="D46" t="s">
        <v>42</v>
      </c>
      <c r="E46">
        <v>0.109</v>
      </c>
      <c r="F46">
        <v>0.126</v>
      </c>
      <c r="G46">
        <v>8.3000000000000001E-3</v>
      </c>
      <c r="H46">
        <v>1.26E-2</v>
      </c>
      <c r="I46">
        <v>0.80400000000000005</v>
      </c>
      <c r="J46">
        <v>0.58899999999999997</v>
      </c>
      <c r="K46">
        <v>0.41599999999999998</v>
      </c>
      <c r="L46">
        <v>0.72899999999999998</v>
      </c>
      <c r="M46">
        <v>3.3</v>
      </c>
      <c r="N46" s="12">
        <v>7083549</v>
      </c>
      <c r="O46" s="12">
        <v>3314951</v>
      </c>
      <c r="P46" s="12">
        <v>1449686</v>
      </c>
      <c r="Q46">
        <v>2.0899999999999998E-2</v>
      </c>
      <c r="R46">
        <v>8.3860900000000006E-3</v>
      </c>
      <c r="S46">
        <v>0.71040000000000003</v>
      </c>
      <c r="T46">
        <v>0.35560000000000003</v>
      </c>
      <c r="U46" s="12">
        <v>2684</v>
      </c>
      <c r="V46">
        <v>1039.8499999999999</v>
      </c>
    </row>
    <row r="47" spans="1:22">
      <c r="A47" t="s">
        <v>90</v>
      </c>
      <c r="B47">
        <v>8</v>
      </c>
      <c r="C47">
        <v>10</v>
      </c>
      <c r="D47" t="s">
        <v>42</v>
      </c>
      <c r="E47">
        <v>0.17899999999999999</v>
      </c>
      <c r="F47">
        <v>0.13525000000000001</v>
      </c>
      <c r="G47">
        <v>7.6E-3</v>
      </c>
      <c r="H47">
        <v>1.3100000000000001E-2</v>
      </c>
      <c r="I47">
        <v>0.80300000000000005</v>
      </c>
      <c r="J47">
        <v>0.59199999999999997</v>
      </c>
      <c r="K47">
        <v>0.40400000000000003</v>
      </c>
      <c r="L47">
        <v>0.73899999999999999</v>
      </c>
      <c r="M47">
        <v>3.3</v>
      </c>
      <c r="N47" s="12">
        <v>6621125</v>
      </c>
      <c r="O47" s="12">
        <v>3590529</v>
      </c>
      <c r="P47" s="12">
        <v>1334249</v>
      </c>
      <c r="Q47">
        <v>2.07E-2</v>
      </c>
      <c r="R47">
        <v>8.3058400000000001E-3</v>
      </c>
      <c r="S47" s="12">
        <v>10438</v>
      </c>
      <c r="T47">
        <v>0.52190000000000003</v>
      </c>
      <c r="U47" s="12">
        <v>42362</v>
      </c>
      <c r="V47" s="12">
        <v>10211654</v>
      </c>
    </row>
    <row r="48" spans="1:22">
      <c r="A48" t="s">
        <v>90</v>
      </c>
      <c r="B48">
        <v>8</v>
      </c>
      <c r="C48">
        <v>10</v>
      </c>
      <c r="D48" t="s">
        <v>42</v>
      </c>
      <c r="E48">
        <v>0.16600000000000001</v>
      </c>
      <c r="F48">
        <v>0.128</v>
      </c>
      <c r="G48">
        <v>1.01E-2</v>
      </c>
      <c r="H48">
        <v>1.1599999999999999E-2</v>
      </c>
      <c r="I48">
        <v>0.80100000000000005</v>
      </c>
      <c r="J48">
        <v>0.57599999999999996</v>
      </c>
      <c r="K48">
        <v>0.42499999999999999</v>
      </c>
      <c r="L48">
        <v>0.71899999999999997</v>
      </c>
      <c r="M48">
        <v>3.1</v>
      </c>
      <c r="N48">
        <v>591.33000000000004</v>
      </c>
      <c r="O48" s="12">
        <v>2577627</v>
      </c>
      <c r="P48" s="12">
        <v>113698</v>
      </c>
      <c r="Q48">
        <v>2.1700000000000001E-2</v>
      </c>
      <c r="R48">
        <v>8.7070889999999995E-3</v>
      </c>
      <c r="S48" s="12">
        <v>10518</v>
      </c>
      <c r="T48">
        <v>0.52590000000000003</v>
      </c>
      <c r="U48" s="12">
        <v>4037</v>
      </c>
      <c r="V48" s="12">
        <v>8490927</v>
      </c>
    </row>
    <row r="49" spans="1:22">
      <c r="A49" t="s">
        <v>90</v>
      </c>
      <c r="B49">
        <v>8</v>
      </c>
      <c r="C49">
        <v>10</v>
      </c>
      <c r="D49" t="s">
        <v>42</v>
      </c>
      <c r="E49">
        <v>0.161</v>
      </c>
      <c r="F49">
        <v>0.13525000000000001</v>
      </c>
      <c r="G49">
        <v>6.1999999999999998E-3</v>
      </c>
      <c r="H49">
        <v>1.15E-2</v>
      </c>
      <c r="I49">
        <v>0.80100000000000005</v>
      </c>
      <c r="J49">
        <v>0.61499999999999999</v>
      </c>
      <c r="K49">
        <v>0.38200000000000001</v>
      </c>
      <c r="L49">
        <v>0.76900000000000002</v>
      </c>
      <c r="M49">
        <v>3.4</v>
      </c>
      <c r="N49" s="12">
        <v>6323698</v>
      </c>
      <c r="O49" s="12">
        <v>3598066</v>
      </c>
      <c r="P49" s="12">
        <v>1269591</v>
      </c>
      <c r="Q49">
        <v>1.77E-2</v>
      </c>
      <c r="R49">
        <v>7.1020950000000001E-3</v>
      </c>
      <c r="S49" s="12">
        <v>13066</v>
      </c>
      <c r="T49">
        <v>0.65329999999999999</v>
      </c>
      <c r="U49" s="12">
        <v>45184</v>
      </c>
      <c r="V49" s="12">
        <v>9921764</v>
      </c>
    </row>
    <row r="50" spans="1:22">
      <c r="A50" t="s">
        <v>90</v>
      </c>
      <c r="B50">
        <v>9</v>
      </c>
      <c r="C50">
        <v>13</v>
      </c>
      <c r="D50" t="s">
        <v>42</v>
      </c>
      <c r="E50">
        <v>0.16600000000000001</v>
      </c>
      <c r="F50">
        <v>0.17699999999999999</v>
      </c>
      <c r="G50">
        <v>8.0000000000000002E-3</v>
      </c>
      <c r="H50">
        <v>1.2999999999999999E-2</v>
      </c>
      <c r="I50">
        <v>0.79200000000000004</v>
      </c>
      <c r="J50">
        <v>0.61899999999999999</v>
      </c>
      <c r="K50">
        <v>0.38700000000000001</v>
      </c>
      <c r="L50">
        <v>0.77700000000000002</v>
      </c>
      <c r="M50">
        <v>3.4</v>
      </c>
      <c r="N50" s="12">
        <v>541443</v>
      </c>
      <c r="O50" s="12">
        <v>1923364</v>
      </c>
      <c r="P50" s="12">
        <v>1672614</v>
      </c>
      <c r="Q50">
        <v>2.1000000000000001E-2</v>
      </c>
      <c r="R50">
        <v>6.4817039999999996E-3</v>
      </c>
      <c r="S50" s="12">
        <v>11854</v>
      </c>
      <c r="T50">
        <v>0.59319999999999995</v>
      </c>
      <c r="U50" s="12">
        <v>40004</v>
      </c>
      <c r="V50" s="12">
        <v>868464</v>
      </c>
    </row>
    <row r="51" spans="1:22">
      <c r="A51" t="s">
        <v>90</v>
      </c>
      <c r="B51">
        <v>9</v>
      </c>
      <c r="C51">
        <v>13</v>
      </c>
      <c r="D51" t="s">
        <v>42</v>
      </c>
      <c r="E51">
        <v>0.14099999999999999</v>
      </c>
      <c r="F51">
        <v>0.127</v>
      </c>
      <c r="G51">
        <v>7.6E-3</v>
      </c>
      <c r="H51">
        <v>0.01</v>
      </c>
      <c r="I51">
        <v>0.79400000000000004</v>
      </c>
      <c r="J51">
        <v>0.65800000000000003</v>
      </c>
      <c r="K51">
        <v>0.34799999999999998</v>
      </c>
      <c r="L51">
        <v>0.82399999999999995</v>
      </c>
      <c r="M51">
        <v>3.6</v>
      </c>
      <c r="N51" s="12">
        <v>4588308</v>
      </c>
      <c r="O51" s="12">
        <v>2299267</v>
      </c>
      <c r="P51" s="12">
        <v>1642566</v>
      </c>
      <c r="Q51">
        <v>1.4999999999999999E-2</v>
      </c>
      <c r="R51">
        <v>4.6297880000000001E-3</v>
      </c>
      <c r="S51">
        <v>0.82499999999999996</v>
      </c>
      <c r="T51">
        <v>0.4128</v>
      </c>
      <c r="U51" s="12">
        <v>40094</v>
      </c>
      <c r="V51" s="12">
        <v>6887575</v>
      </c>
    </row>
    <row r="52" spans="1:22">
      <c r="A52" t="s">
        <v>90</v>
      </c>
      <c r="B52">
        <v>9</v>
      </c>
      <c r="C52">
        <v>13</v>
      </c>
      <c r="D52" t="s">
        <v>42</v>
      </c>
      <c r="E52">
        <v>0.19500000000000001</v>
      </c>
      <c r="F52">
        <v>0.189</v>
      </c>
      <c r="G52">
        <v>8.0000000000000002E-3</v>
      </c>
      <c r="H52">
        <v>1.4999999999999999E-2</v>
      </c>
      <c r="I52">
        <v>0.79600000000000004</v>
      </c>
      <c r="J52">
        <v>0.628</v>
      </c>
      <c r="K52">
        <v>0.38100000000000001</v>
      </c>
      <c r="L52">
        <v>0.78300000000000003</v>
      </c>
      <c r="M52">
        <v>3.5</v>
      </c>
      <c r="N52" s="12">
        <v>5316569</v>
      </c>
      <c r="O52" s="12">
        <v>1864888</v>
      </c>
      <c r="P52" s="12">
        <v>1794777</v>
      </c>
      <c r="Q52">
        <v>2.3E-2</v>
      </c>
      <c r="R52">
        <v>7.0990089999999999E-3</v>
      </c>
      <c r="S52" s="12">
        <v>13862</v>
      </c>
      <c r="T52">
        <v>0.69320000000000004</v>
      </c>
      <c r="U52" s="12">
        <v>44486</v>
      </c>
      <c r="V52" s="12">
        <v>7181457</v>
      </c>
    </row>
    <row r="53" spans="1:22">
      <c r="A53" t="s">
        <v>90</v>
      </c>
      <c r="B53">
        <v>9</v>
      </c>
      <c r="C53">
        <v>13</v>
      </c>
      <c r="D53" t="s">
        <v>42</v>
      </c>
      <c r="E53">
        <v>0.17100000000000001</v>
      </c>
      <c r="F53">
        <v>0.15</v>
      </c>
      <c r="G53">
        <v>7.0000000000000001E-3</v>
      </c>
      <c r="H53">
        <v>1.0999999999999999E-2</v>
      </c>
      <c r="I53">
        <v>0.79100000000000004</v>
      </c>
      <c r="J53">
        <v>0.59899999999999998</v>
      </c>
      <c r="K53">
        <v>0.39600000000000002</v>
      </c>
      <c r="L53">
        <v>0.76100000000000001</v>
      </c>
      <c r="M53">
        <v>3.3</v>
      </c>
      <c r="N53" s="12">
        <v>5209911</v>
      </c>
      <c r="O53" s="12">
        <v>1923364</v>
      </c>
      <c r="P53" s="12">
        <v>1652522</v>
      </c>
      <c r="Q53">
        <v>1.7999999999999999E-2</v>
      </c>
      <c r="R53">
        <v>5.5557460000000003E-3</v>
      </c>
      <c r="S53">
        <v>1.1200000000000001</v>
      </c>
      <c r="T53">
        <v>0.56000000000000005</v>
      </c>
      <c r="U53" s="12">
        <v>46056</v>
      </c>
      <c r="V53" s="12">
        <v>6575813</v>
      </c>
    </row>
    <row r="54" spans="1:22">
      <c r="A54" t="s">
        <v>90</v>
      </c>
      <c r="B54">
        <v>9</v>
      </c>
      <c r="C54">
        <v>13</v>
      </c>
      <c r="D54" t="s">
        <v>42</v>
      </c>
      <c r="E54">
        <v>0.184</v>
      </c>
      <c r="F54">
        <v>0.16</v>
      </c>
      <c r="G54">
        <v>8.0000000000000002E-3</v>
      </c>
      <c r="H54">
        <v>1.2999999999999999E-2</v>
      </c>
      <c r="I54">
        <v>0.77500000000000002</v>
      </c>
      <c r="J54">
        <v>0.54500000000000004</v>
      </c>
      <c r="K54">
        <v>0.45100000000000001</v>
      </c>
      <c r="L54">
        <v>0.70699999999999996</v>
      </c>
      <c r="M54">
        <v>3</v>
      </c>
      <c r="N54" s="12">
        <v>5047934</v>
      </c>
      <c r="O54" s="12">
        <v>1759508</v>
      </c>
      <c r="P54" s="12">
        <v>1479938</v>
      </c>
      <c r="Q54">
        <v>2.1000000000000001E-2</v>
      </c>
      <c r="R54">
        <v>6.4817039999999996E-3</v>
      </c>
      <c r="S54" s="12">
        <v>10956</v>
      </c>
      <c r="T54">
        <v>0.54779999999999995</v>
      </c>
      <c r="U54" s="12">
        <v>4296</v>
      </c>
      <c r="V54" s="12">
        <v>6807442</v>
      </c>
    </row>
    <row r="55" spans="1:22">
      <c r="A55" t="s">
        <v>90</v>
      </c>
      <c r="B55">
        <v>9</v>
      </c>
      <c r="C55">
        <v>13</v>
      </c>
      <c r="D55" t="s">
        <v>42</v>
      </c>
      <c r="E55">
        <v>0.17199999999999999</v>
      </c>
      <c r="F55">
        <v>0.14699999999999999</v>
      </c>
      <c r="G55">
        <v>7.0000000000000001E-3</v>
      </c>
      <c r="H55">
        <v>1.2999999999999999E-2</v>
      </c>
      <c r="I55">
        <v>0.77500000000000002</v>
      </c>
      <c r="J55">
        <v>0.51800000000000002</v>
      </c>
      <c r="K55">
        <v>0.47899999999999998</v>
      </c>
      <c r="L55">
        <v>0.67100000000000004</v>
      </c>
      <c r="M55">
        <v>2.8</v>
      </c>
      <c r="N55" s="12">
        <v>5008448</v>
      </c>
      <c r="O55" s="12">
        <v>1769793</v>
      </c>
      <c r="P55" s="12">
        <v>1828101</v>
      </c>
      <c r="Q55">
        <v>0.02</v>
      </c>
      <c r="R55">
        <v>6.1730509999999997E-3</v>
      </c>
      <c r="S55">
        <v>0.95599999999999996</v>
      </c>
      <c r="T55">
        <v>0.47799999999999998</v>
      </c>
      <c r="U55" s="12">
        <v>42434</v>
      </c>
      <c r="V55" s="12">
        <v>6778241</v>
      </c>
    </row>
    <row r="56" spans="1:22">
      <c r="A56" t="s">
        <v>90</v>
      </c>
      <c r="B56">
        <v>10</v>
      </c>
      <c r="C56">
        <v>7</v>
      </c>
      <c r="D56" t="s">
        <v>43</v>
      </c>
      <c r="E56">
        <v>0.10199999999999999</v>
      </c>
      <c r="F56">
        <v>0.123</v>
      </c>
      <c r="G56">
        <v>4.0000000000000001E-3</v>
      </c>
      <c r="H56">
        <v>1.0999999999999999E-2</v>
      </c>
      <c r="I56">
        <v>0.78700000000000003</v>
      </c>
      <c r="J56">
        <v>0.628</v>
      </c>
      <c r="K56">
        <v>0.379</v>
      </c>
      <c r="L56">
        <v>0.79300000000000004</v>
      </c>
      <c r="M56">
        <v>3.7</v>
      </c>
      <c r="N56" s="12">
        <v>4056625</v>
      </c>
      <c r="O56" s="12">
        <v>1155929</v>
      </c>
      <c r="P56" s="12">
        <v>1677943</v>
      </c>
      <c r="Q56">
        <v>1.4999999999999999E-2</v>
      </c>
      <c r="R56">
        <v>1.0926750000000001E-2</v>
      </c>
      <c r="S56">
        <v>0.86560000000000004</v>
      </c>
      <c r="T56">
        <v>0.43319999999999997</v>
      </c>
      <c r="U56" s="12">
        <v>39608</v>
      </c>
      <c r="V56" s="12">
        <v>5212554</v>
      </c>
    </row>
    <row r="57" spans="1:22">
      <c r="A57" t="s">
        <v>90</v>
      </c>
      <c r="B57">
        <v>10</v>
      </c>
      <c r="C57">
        <v>7</v>
      </c>
      <c r="D57" t="s">
        <v>43</v>
      </c>
      <c r="E57">
        <v>0.106</v>
      </c>
      <c r="F57">
        <v>0.13400000000000001</v>
      </c>
      <c r="G57">
        <v>4.0000000000000001E-3</v>
      </c>
      <c r="H57">
        <v>8.9999999999999993E-3</v>
      </c>
      <c r="I57">
        <v>0.78</v>
      </c>
      <c r="J57">
        <v>0.64400000000000002</v>
      </c>
      <c r="K57">
        <v>0.36799999999999999</v>
      </c>
      <c r="L57">
        <v>0.81699999999999995</v>
      </c>
      <c r="M57">
        <v>3.8</v>
      </c>
      <c r="N57" s="12">
        <v>3268981</v>
      </c>
      <c r="O57" s="12">
        <v>944213</v>
      </c>
      <c r="P57" s="12">
        <v>1952437</v>
      </c>
      <c r="Q57">
        <v>1.2E-2</v>
      </c>
      <c r="R57">
        <v>8.7413999999999999E-3</v>
      </c>
      <c r="S57" s="12">
        <v>10362</v>
      </c>
      <c r="T57">
        <v>0.51839999999999997</v>
      </c>
      <c r="U57" s="12">
        <v>40868</v>
      </c>
      <c r="V57" s="12">
        <v>4213194</v>
      </c>
    </row>
    <row r="58" spans="1:22">
      <c r="A58" t="s">
        <v>90</v>
      </c>
      <c r="B58">
        <v>10</v>
      </c>
      <c r="C58">
        <v>7</v>
      </c>
      <c r="D58" t="s">
        <v>43</v>
      </c>
      <c r="E58">
        <v>9.2999999999999999E-2</v>
      </c>
      <c r="F58">
        <v>0.112</v>
      </c>
      <c r="G58">
        <v>4.0000000000000001E-3</v>
      </c>
      <c r="H58">
        <v>1.0999999999999999E-2</v>
      </c>
      <c r="I58">
        <v>0.79300000000000004</v>
      </c>
      <c r="J58">
        <v>0.61499999999999999</v>
      </c>
      <c r="K58">
        <v>0.39500000000000002</v>
      </c>
      <c r="L58">
        <v>0.76800000000000002</v>
      </c>
      <c r="M58">
        <v>3.6</v>
      </c>
      <c r="N58" s="12">
        <v>4269845</v>
      </c>
      <c r="O58" s="12">
        <v>1209191</v>
      </c>
      <c r="P58" s="12">
        <v>1729869</v>
      </c>
      <c r="Q58">
        <v>1.4999999999999999E-2</v>
      </c>
      <c r="R58">
        <v>1.0926750000000001E-2</v>
      </c>
      <c r="S58" s="12">
        <v>11524</v>
      </c>
      <c r="T58">
        <v>0.57640000000000002</v>
      </c>
      <c r="U58" s="12">
        <v>3996</v>
      </c>
      <c r="V58" s="12">
        <v>5479036</v>
      </c>
    </row>
    <row r="59" spans="1:22">
      <c r="A59" t="s">
        <v>90</v>
      </c>
      <c r="B59">
        <v>10</v>
      </c>
      <c r="C59">
        <v>7</v>
      </c>
      <c r="D59" t="s">
        <v>43</v>
      </c>
      <c r="E59">
        <v>0.121</v>
      </c>
      <c r="F59">
        <v>0.109</v>
      </c>
      <c r="G59">
        <v>4.0000000000000001E-3</v>
      </c>
      <c r="H59">
        <v>8.9999999999999993E-3</v>
      </c>
      <c r="I59">
        <v>0.79900000000000004</v>
      </c>
      <c r="J59">
        <v>0.625</v>
      </c>
      <c r="K59">
        <v>0.37</v>
      </c>
      <c r="L59">
        <v>0.78500000000000003</v>
      </c>
      <c r="M59">
        <v>3.5</v>
      </c>
      <c r="N59" s="12">
        <v>534543</v>
      </c>
      <c r="O59" s="12">
        <v>153867</v>
      </c>
      <c r="P59" s="12">
        <v>193458</v>
      </c>
      <c r="Q59">
        <v>0.01</v>
      </c>
      <c r="R59">
        <v>7.2845000000000002E-3</v>
      </c>
      <c r="S59" s="12">
        <v>1055</v>
      </c>
      <c r="T59">
        <v>0.52780000000000005</v>
      </c>
      <c r="U59" s="12">
        <v>4777</v>
      </c>
      <c r="V59">
        <v>688.41</v>
      </c>
    </row>
    <row r="60" spans="1:22">
      <c r="A60" t="s">
        <v>90</v>
      </c>
      <c r="B60">
        <v>10</v>
      </c>
      <c r="C60">
        <v>7</v>
      </c>
      <c r="D60" t="s">
        <v>43</v>
      </c>
      <c r="E60">
        <v>0.129</v>
      </c>
      <c r="F60">
        <v>0.114</v>
      </c>
      <c r="G60">
        <v>4.0000000000000001E-3</v>
      </c>
      <c r="H60">
        <v>1.0999999999999999E-2</v>
      </c>
      <c r="I60">
        <v>0.79300000000000004</v>
      </c>
      <c r="J60">
        <v>0.64700000000000002</v>
      </c>
      <c r="K60">
        <v>0.34899999999999998</v>
      </c>
      <c r="L60">
        <v>0.81899999999999995</v>
      </c>
      <c r="M60">
        <v>3.6</v>
      </c>
      <c r="N60" s="12">
        <v>43153522</v>
      </c>
      <c r="O60" s="12">
        <v>12409426</v>
      </c>
      <c r="P60" s="12">
        <v>18197772</v>
      </c>
      <c r="Q60">
        <v>1.4999999999999999E-2</v>
      </c>
      <c r="R60">
        <v>1.0926750000000001E-2</v>
      </c>
      <c r="S60">
        <v>0.72319999999999995</v>
      </c>
      <c r="T60">
        <v>0.36180000000000001</v>
      </c>
      <c r="U60" s="12">
        <v>43064</v>
      </c>
      <c r="V60" s="12">
        <v>984228</v>
      </c>
    </row>
    <row r="61" spans="1:22">
      <c r="A61" t="s">
        <v>90</v>
      </c>
      <c r="B61">
        <v>10</v>
      </c>
      <c r="C61">
        <v>7</v>
      </c>
      <c r="D61" t="s">
        <v>43</v>
      </c>
      <c r="E61">
        <v>0.123</v>
      </c>
      <c r="F61">
        <v>0.126</v>
      </c>
      <c r="G61">
        <v>4.0000000000000001E-3</v>
      </c>
      <c r="H61">
        <v>8.9999999999999993E-3</v>
      </c>
      <c r="I61">
        <v>0.79300000000000004</v>
      </c>
      <c r="J61">
        <v>0.63600000000000001</v>
      </c>
      <c r="K61">
        <v>0.36</v>
      </c>
      <c r="L61">
        <v>0.80500000000000005</v>
      </c>
      <c r="M61">
        <v>3.6</v>
      </c>
      <c r="N61" s="12">
        <v>463588</v>
      </c>
      <c r="O61" s="12">
        <v>135671</v>
      </c>
      <c r="P61" s="12">
        <v>1804057</v>
      </c>
      <c r="Q61">
        <v>1.2999999999999999E-2</v>
      </c>
      <c r="R61">
        <v>9.4698500000000001E-3</v>
      </c>
      <c r="S61" s="12">
        <v>1158</v>
      </c>
      <c r="T61">
        <v>0.57920000000000005</v>
      </c>
      <c r="U61" s="12">
        <v>50496</v>
      </c>
      <c r="V61" s="12">
        <v>599259</v>
      </c>
    </row>
    <row r="62" spans="1:22">
      <c r="A62" t="s">
        <v>90</v>
      </c>
      <c r="B62">
        <v>11</v>
      </c>
      <c r="C62">
        <v>10</v>
      </c>
      <c r="D62" t="s">
        <v>43</v>
      </c>
      <c r="E62">
        <v>0.24099999999999999</v>
      </c>
      <c r="F62">
        <v>0.126</v>
      </c>
      <c r="G62">
        <v>1.2699999999999999E-2</v>
      </c>
      <c r="H62">
        <v>1.23E-2</v>
      </c>
      <c r="I62">
        <v>0.78900000000000003</v>
      </c>
      <c r="J62">
        <v>0.57899999999999996</v>
      </c>
      <c r="K62">
        <v>0.438</v>
      </c>
      <c r="L62">
        <v>0.72299999999999998</v>
      </c>
      <c r="M62">
        <v>3.2</v>
      </c>
      <c r="N62" s="12">
        <v>4632746</v>
      </c>
      <c r="O62" s="12">
        <v>894576</v>
      </c>
      <c r="P62" s="12">
        <v>191541</v>
      </c>
      <c r="Q62">
        <v>2.5000000000000001E-2</v>
      </c>
      <c r="R62">
        <v>1.2747875000000001E-2</v>
      </c>
      <c r="S62" s="12">
        <v>11392</v>
      </c>
      <c r="T62" s="12">
        <v>10848</v>
      </c>
      <c r="U62" s="12">
        <v>227472</v>
      </c>
      <c r="V62" s="12">
        <v>5527322</v>
      </c>
    </row>
    <row r="63" spans="1:22">
      <c r="A63" t="s">
        <v>90</v>
      </c>
      <c r="B63">
        <v>11</v>
      </c>
      <c r="C63">
        <v>10</v>
      </c>
      <c r="D63" t="s">
        <v>43</v>
      </c>
      <c r="E63">
        <v>0.26900000000000002</v>
      </c>
      <c r="F63">
        <v>0.128</v>
      </c>
      <c r="G63">
        <v>1.5699999999999999E-2</v>
      </c>
      <c r="H63">
        <v>1.26E-2</v>
      </c>
      <c r="I63">
        <v>0.78500000000000003</v>
      </c>
      <c r="J63">
        <v>0.48299999999999998</v>
      </c>
      <c r="K63">
        <v>0.53600000000000003</v>
      </c>
      <c r="L63">
        <v>0.60499999999999998</v>
      </c>
      <c r="M63">
        <v>2.7</v>
      </c>
      <c r="N63" s="12">
        <v>4791745</v>
      </c>
      <c r="O63" s="12">
        <v>772398</v>
      </c>
      <c r="P63" s="12">
        <v>2095747</v>
      </c>
      <c r="Q63">
        <v>2.8299999999999999E-2</v>
      </c>
      <c r="R63">
        <v>1.4430594999999999E-2</v>
      </c>
      <c r="S63" s="12">
        <v>1198</v>
      </c>
      <c r="T63" s="12">
        <v>11422</v>
      </c>
      <c r="U63" s="12">
        <v>13016</v>
      </c>
      <c r="V63" s="12">
        <v>5564143</v>
      </c>
    </row>
    <row r="64" spans="1:22">
      <c r="A64" t="s">
        <v>90</v>
      </c>
      <c r="B64">
        <v>11</v>
      </c>
      <c r="C64">
        <v>10</v>
      </c>
      <c r="D64" t="s">
        <v>43</v>
      </c>
      <c r="E64">
        <v>0.26700000000000002</v>
      </c>
      <c r="F64">
        <v>0.12875</v>
      </c>
      <c r="G64">
        <v>1.6E-2</v>
      </c>
      <c r="H64">
        <v>1.23E-2</v>
      </c>
      <c r="I64">
        <v>0.78300000000000003</v>
      </c>
      <c r="J64">
        <v>0.48499999999999999</v>
      </c>
      <c r="K64">
        <v>0.53300000000000003</v>
      </c>
      <c r="L64">
        <v>0.61099999999999999</v>
      </c>
      <c r="M64">
        <v>2.7</v>
      </c>
      <c r="N64" s="12">
        <v>4172796</v>
      </c>
      <c r="O64" s="12">
        <v>1080843</v>
      </c>
      <c r="P64" s="12">
        <v>1664383</v>
      </c>
      <c r="Q64">
        <v>3.0599999999999999E-2</v>
      </c>
      <c r="R64">
        <v>1.5603399E-2</v>
      </c>
      <c r="S64" s="12">
        <v>12572</v>
      </c>
      <c r="T64">
        <v>0.62860000000000005</v>
      </c>
      <c r="U64" s="12">
        <v>126656</v>
      </c>
      <c r="V64" s="12">
        <v>5253639</v>
      </c>
    </row>
    <row r="65" spans="1:22">
      <c r="A65" t="s">
        <v>90</v>
      </c>
      <c r="B65">
        <v>11</v>
      </c>
      <c r="C65">
        <v>10</v>
      </c>
      <c r="D65" t="s">
        <v>43</v>
      </c>
      <c r="E65">
        <v>0.223</v>
      </c>
      <c r="F65">
        <v>0.13200000000000001</v>
      </c>
      <c r="G65">
        <v>1.3100000000000001E-2</v>
      </c>
      <c r="H65">
        <v>1.21E-2</v>
      </c>
      <c r="I65">
        <v>0.79100000000000004</v>
      </c>
      <c r="J65">
        <v>0.55900000000000005</v>
      </c>
      <c r="K65">
        <v>0.443</v>
      </c>
      <c r="L65">
        <v>0.70599999999999996</v>
      </c>
      <c r="M65">
        <v>3</v>
      </c>
      <c r="N65" s="12">
        <v>4627942</v>
      </c>
      <c r="O65" s="12">
        <v>50514</v>
      </c>
      <c r="P65" s="12">
        <v>1821696</v>
      </c>
      <c r="Q65">
        <v>2.52E-2</v>
      </c>
      <c r="R65">
        <v>1.2849858E-2</v>
      </c>
      <c r="S65" s="12">
        <v>11202</v>
      </c>
      <c r="T65">
        <v>0.56010000000000004</v>
      </c>
      <c r="U65" s="12">
        <v>5572</v>
      </c>
      <c r="V65" s="12">
        <v>601272</v>
      </c>
    </row>
    <row r="66" spans="1:22">
      <c r="A66" t="s">
        <v>90</v>
      </c>
      <c r="B66">
        <v>11</v>
      </c>
      <c r="C66">
        <v>10</v>
      </c>
      <c r="D66" t="s">
        <v>43</v>
      </c>
      <c r="E66">
        <v>0.22700000000000001</v>
      </c>
      <c r="F66">
        <v>0.12875</v>
      </c>
      <c r="G66">
        <v>8.6999999999999994E-3</v>
      </c>
      <c r="H66">
        <v>1.21E-2</v>
      </c>
      <c r="I66">
        <v>0.78300000000000003</v>
      </c>
      <c r="J66">
        <v>0.53300000000000003</v>
      </c>
      <c r="K66">
        <v>0.46700000000000003</v>
      </c>
      <c r="L66">
        <v>0.68</v>
      </c>
      <c r="M66">
        <v>2.9</v>
      </c>
      <c r="N66" s="12">
        <v>4627942</v>
      </c>
      <c r="O66" s="12">
        <v>409283</v>
      </c>
      <c r="P66" s="12">
        <v>2222273</v>
      </c>
      <c r="Q66">
        <v>2.0799999999999999E-2</v>
      </c>
      <c r="R66">
        <v>1.0606232E-2</v>
      </c>
      <c r="S66" s="12">
        <v>1187</v>
      </c>
      <c r="T66">
        <v>0.59350000000000003</v>
      </c>
      <c r="U66" s="12">
        <v>5584</v>
      </c>
      <c r="V66" s="12">
        <v>4962198</v>
      </c>
    </row>
    <row r="67" spans="1:22">
      <c r="A67" t="s">
        <v>90</v>
      </c>
      <c r="B67">
        <v>11</v>
      </c>
      <c r="C67">
        <v>10</v>
      </c>
      <c r="D67" t="s">
        <v>43</v>
      </c>
      <c r="E67">
        <v>0.22700000000000001</v>
      </c>
      <c r="F67">
        <v>0.129</v>
      </c>
      <c r="G67">
        <v>1.01E-2</v>
      </c>
      <c r="H67">
        <v>1.24E-2</v>
      </c>
      <c r="I67">
        <v>0.78400000000000003</v>
      </c>
      <c r="J67">
        <v>0.56200000000000006</v>
      </c>
      <c r="K67">
        <v>0.44700000000000001</v>
      </c>
      <c r="L67">
        <v>0.71099999999999997</v>
      </c>
      <c r="M67">
        <v>3.1</v>
      </c>
      <c r="N67" s="12">
        <v>4914481</v>
      </c>
      <c r="O67" s="12">
        <v>96725</v>
      </c>
      <c r="P67" s="12">
        <v>1610514</v>
      </c>
      <c r="Q67">
        <v>2.2499999999999999E-2</v>
      </c>
      <c r="R67">
        <v>1.1473087999999999E-2</v>
      </c>
      <c r="S67" s="12">
        <v>12948</v>
      </c>
      <c r="T67">
        <v>0.64739999999999998</v>
      </c>
      <c r="U67" s="12">
        <v>62512</v>
      </c>
      <c r="V67" s="12">
        <v>5881731</v>
      </c>
    </row>
    <row r="68" spans="1:22">
      <c r="A68" t="s">
        <v>90</v>
      </c>
      <c r="B68">
        <v>12</v>
      </c>
      <c r="C68">
        <v>13</v>
      </c>
      <c r="D68" t="s">
        <v>43</v>
      </c>
      <c r="E68">
        <v>0.22700000000000001</v>
      </c>
      <c r="F68">
        <v>0.15</v>
      </c>
      <c r="G68">
        <v>8.0000000000000002E-3</v>
      </c>
      <c r="H68">
        <v>1.0999999999999999E-2</v>
      </c>
      <c r="I68">
        <v>0.78500000000000003</v>
      </c>
      <c r="J68">
        <v>0.52900000000000003</v>
      </c>
      <c r="K68">
        <v>0.48299999999999998</v>
      </c>
      <c r="L68">
        <v>0.66700000000000004</v>
      </c>
      <c r="M68">
        <v>2.9</v>
      </c>
      <c r="N68" s="12">
        <v>3872183</v>
      </c>
      <c r="O68" s="12">
        <v>6149288</v>
      </c>
      <c r="P68" s="12">
        <v>1322949</v>
      </c>
      <c r="Q68">
        <v>1.9E-2</v>
      </c>
      <c r="R68">
        <v>7.4526039999999998E-3</v>
      </c>
      <c r="S68" s="12">
        <v>17084</v>
      </c>
      <c r="T68">
        <v>0.85419999999999996</v>
      </c>
      <c r="U68" s="12">
        <v>6105</v>
      </c>
      <c r="V68" s="12">
        <v>10021471</v>
      </c>
    </row>
    <row r="69" spans="1:22">
      <c r="A69" t="s">
        <v>90</v>
      </c>
      <c r="B69">
        <v>12</v>
      </c>
      <c r="C69">
        <v>13</v>
      </c>
      <c r="D69" t="s">
        <v>43</v>
      </c>
      <c r="E69">
        <v>0.23</v>
      </c>
      <c r="F69">
        <v>0.126</v>
      </c>
      <c r="G69">
        <v>8.0000000000000002E-3</v>
      </c>
      <c r="H69">
        <v>8.9999999999999993E-3</v>
      </c>
      <c r="I69">
        <v>0.78625</v>
      </c>
      <c r="J69">
        <v>0.46899999999999997</v>
      </c>
      <c r="K69">
        <v>0.54</v>
      </c>
      <c r="L69">
        <v>0.60299999999999998</v>
      </c>
      <c r="M69">
        <v>2.6</v>
      </c>
      <c r="N69" s="12">
        <v>3446593</v>
      </c>
      <c r="O69" s="12">
        <v>6044685</v>
      </c>
      <c r="P69" s="12">
        <v>1470066</v>
      </c>
      <c r="Q69">
        <v>1.7000000000000001E-2</v>
      </c>
      <c r="R69">
        <v>6.6681190000000001E-3</v>
      </c>
      <c r="S69" s="12">
        <v>14606</v>
      </c>
      <c r="T69">
        <v>0.73029999999999995</v>
      </c>
      <c r="U69" s="12">
        <v>64512</v>
      </c>
      <c r="V69" s="12">
        <v>9491278</v>
      </c>
    </row>
    <row r="70" spans="1:22">
      <c r="A70" t="s">
        <v>90</v>
      </c>
      <c r="B70">
        <v>12</v>
      </c>
      <c r="C70">
        <v>13</v>
      </c>
      <c r="D70" t="s">
        <v>43</v>
      </c>
      <c r="E70">
        <v>0.191</v>
      </c>
      <c r="F70">
        <v>0.13100000000000001</v>
      </c>
      <c r="G70">
        <v>6.0000000000000001E-3</v>
      </c>
      <c r="H70">
        <v>8.9999999999999993E-3</v>
      </c>
      <c r="I70">
        <v>0.78200000000000003</v>
      </c>
      <c r="J70">
        <v>0.504</v>
      </c>
      <c r="K70">
        <v>0.49299999999999999</v>
      </c>
      <c r="L70">
        <v>0.64600000000000002</v>
      </c>
      <c r="M70">
        <v>2.8</v>
      </c>
      <c r="N70" s="12">
        <v>2864163</v>
      </c>
      <c r="O70" s="12">
        <v>6077099</v>
      </c>
      <c r="P70" s="12">
        <v>1371654</v>
      </c>
      <c r="Q70">
        <v>1.4999999999999999E-2</v>
      </c>
      <c r="R70">
        <v>5.8836349999999999E-3</v>
      </c>
      <c r="S70">
        <v>0.71479999999999999</v>
      </c>
      <c r="T70">
        <v>0.3574</v>
      </c>
      <c r="U70" s="12">
        <v>58598</v>
      </c>
      <c r="V70" s="12">
        <v>9453375</v>
      </c>
    </row>
    <row r="71" spans="1:22">
      <c r="A71" t="s">
        <v>90</v>
      </c>
      <c r="B71">
        <v>12</v>
      </c>
      <c r="C71">
        <v>13</v>
      </c>
      <c r="D71" t="s">
        <v>43</v>
      </c>
      <c r="E71">
        <v>0.22</v>
      </c>
      <c r="F71">
        <v>0.16400000000000001</v>
      </c>
      <c r="G71">
        <v>7.4999999999999997E-3</v>
      </c>
      <c r="H71">
        <v>1.0999999999999999E-2</v>
      </c>
      <c r="I71">
        <v>0.79</v>
      </c>
      <c r="J71">
        <v>0.59499999999999997</v>
      </c>
      <c r="K71">
        <v>0.4</v>
      </c>
      <c r="L71">
        <v>0.75700000000000001</v>
      </c>
      <c r="M71">
        <v>3.3</v>
      </c>
      <c r="N71" s="12">
        <v>4036279</v>
      </c>
      <c r="O71" s="12">
        <v>6077673</v>
      </c>
      <c r="P71" s="12">
        <v>126552</v>
      </c>
      <c r="Q71">
        <v>2.1000000000000001E-2</v>
      </c>
      <c r="R71">
        <v>8.2370889999999995E-3</v>
      </c>
      <c r="S71">
        <v>0.77300000000000002</v>
      </c>
      <c r="T71">
        <v>0.38679999999999998</v>
      </c>
      <c r="U71" s="12">
        <v>65514</v>
      </c>
      <c r="V71" s="12">
        <v>10113952</v>
      </c>
    </row>
    <row r="72" spans="1:22">
      <c r="A72" t="s">
        <v>90</v>
      </c>
      <c r="B72">
        <v>12</v>
      </c>
      <c r="C72">
        <v>13</v>
      </c>
      <c r="D72" t="s">
        <v>43</v>
      </c>
      <c r="E72">
        <v>0.23200000000000001</v>
      </c>
      <c r="F72">
        <v>0.152</v>
      </c>
      <c r="G72">
        <v>8.0000000000000002E-3</v>
      </c>
      <c r="H72">
        <v>1.0999999999999999E-2</v>
      </c>
      <c r="I72">
        <v>0.78800000000000003</v>
      </c>
      <c r="J72">
        <v>0.56699999999999995</v>
      </c>
      <c r="K72">
        <v>0.42799999999999999</v>
      </c>
      <c r="L72">
        <v>0.72299999999999998</v>
      </c>
      <c r="M72">
        <v>3.1</v>
      </c>
      <c r="N72" s="12">
        <v>4130048</v>
      </c>
      <c r="O72" s="12">
        <v>603675</v>
      </c>
      <c r="P72" s="12">
        <v>1920141</v>
      </c>
      <c r="Q72">
        <v>1.9E-2</v>
      </c>
      <c r="R72">
        <v>7.4526039999999998E-3</v>
      </c>
      <c r="S72">
        <v>0.90680000000000005</v>
      </c>
      <c r="T72">
        <v>0.45379999999999998</v>
      </c>
      <c r="U72" s="12">
        <v>60212</v>
      </c>
      <c r="V72" s="12">
        <v>10166798</v>
      </c>
    </row>
    <row r="73" spans="1:22">
      <c r="A73" t="s">
        <v>37</v>
      </c>
      <c r="B73">
        <v>13</v>
      </c>
      <c r="C73">
        <v>7</v>
      </c>
      <c r="D73" t="s">
        <v>40</v>
      </c>
      <c r="E73">
        <v>9.5000000000000001E-2</v>
      </c>
      <c r="F73">
        <v>0.105</v>
      </c>
      <c r="G73">
        <v>6.1800000000000001E-2</v>
      </c>
      <c r="H73">
        <v>5.57E-2</v>
      </c>
      <c r="I73">
        <v>0.80700000000000005</v>
      </c>
      <c r="J73">
        <v>0.747</v>
      </c>
      <c r="K73">
        <v>0.34675</v>
      </c>
      <c r="L73">
        <v>0.92100000000000004</v>
      </c>
      <c r="M73">
        <v>4.2</v>
      </c>
      <c r="N73" s="12">
        <v>510071</v>
      </c>
      <c r="O73" s="12">
        <v>215758</v>
      </c>
      <c r="P73" s="12">
        <v>312312</v>
      </c>
      <c r="Q73">
        <v>0.12045</v>
      </c>
      <c r="R73">
        <v>5.1339063499999997E-2</v>
      </c>
      <c r="S73">
        <v>0.65300000000000002</v>
      </c>
      <c r="T73">
        <v>0.3266</v>
      </c>
      <c r="U73" s="12">
        <v>2226</v>
      </c>
      <c r="V73" s="12">
        <v>725829</v>
      </c>
    </row>
    <row r="74" spans="1:22">
      <c r="A74" t="s">
        <v>37</v>
      </c>
      <c r="B74">
        <v>13</v>
      </c>
      <c r="C74">
        <v>7</v>
      </c>
      <c r="D74" t="s">
        <v>40</v>
      </c>
      <c r="E74">
        <v>9.6000000000000002E-2</v>
      </c>
      <c r="F74">
        <v>9.2999999999999999E-2</v>
      </c>
      <c r="G74">
        <v>6.2E-2</v>
      </c>
      <c r="H74">
        <v>5.8400000000000001E-2</v>
      </c>
      <c r="I74">
        <v>0.80700000000000005</v>
      </c>
      <c r="J74">
        <v>0.71599999999999997</v>
      </c>
      <c r="K74">
        <v>0.34675</v>
      </c>
      <c r="L74">
        <v>0.88300000000000001</v>
      </c>
      <c r="M74">
        <v>4</v>
      </c>
      <c r="N74" s="12">
        <v>4087936</v>
      </c>
      <c r="O74" s="12">
        <v>2368664</v>
      </c>
      <c r="P74" s="12">
        <v>217244</v>
      </c>
      <c r="Q74">
        <v>0.12039999999999999</v>
      </c>
      <c r="R74">
        <v>5.1317752000000001E-2</v>
      </c>
      <c r="S74">
        <v>0.56320000000000003</v>
      </c>
      <c r="T74">
        <v>0.28199999999999997</v>
      </c>
      <c r="U74" s="12">
        <v>24964</v>
      </c>
      <c r="V74">
        <v>645.66</v>
      </c>
    </row>
    <row r="75" spans="1:22">
      <c r="A75" t="s">
        <v>37</v>
      </c>
      <c r="B75">
        <v>13</v>
      </c>
      <c r="C75">
        <v>7</v>
      </c>
      <c r="D75" t="s">
        <v>40</v>
      </c>
      <c r="E75">
        <v>9.0999999999999998E-2</v>
      </c>
      <c r="F75">
        <v>0.09</v>
      </c>
      <c r="G75">
        <v>6.2E-2</v>
      </c>
      <c r="H75">
        <v>5.7799999999999997E-2</v>
      </c>
      <c r="I75">
        <v>0.80300000000000005</v>
      </c>
      <c r="J75">
        <v>0.67100000000000004</v>
      </c>
      <c r="K75">
        <v>0.33300000000000002</v>
      </c>
      <c r="L75">
        <v>0.83299999999999996</v>
      </c>
      <c r="M75">
        <v>3.7</v>
      </c>
      <c r="N75" s="12">
        <v>4002434</v>
      </c>
      <c r="O75" s="12">
        <v>262066</v>
      </c>
      <c r="P75" s="12">
        <v>111593</v>
      </c>
      <c r="Q75">
        <v>0.1198</v>
      </c>
      <c r="R75">
        <v>5.1062016000000002E-2</v>
      </c>
      <c r="S75">
        <v>0.6764</v>
      </c>
      <c r="T75">
        <v>0.33839999999999998</v>
      </c>
      <c r="U75" s="12">
        <v>23344</v>
      </c>
      <c r="V75" s="12">
        <v>6623094</v>
      </c>
    </row>
    <row r="76" spans="1:22">
      <c r="A76" t="s">
        <v>37</v>
      </c>
      <c r="B76">
        <v>13</v>
      </c>
      <c r="C76">
        <v>7</v>
      </c>
      <c r="D76" t="s">
        <v>40</v>
      </c>
      <c r="E76">
        <v>0.10100000000000001</v>
      </c>
      <c r="F76">
        <v>8.5999999999999993E-2</v>
      </c>
      <c r="G76">
        <v>6.5100000000000005E-2</v>
      </c>
      <c r="H76">
        <v>5.9200000000000003E-2</v>
      </c>
      <c r="I76">
        <v>0.80800000000000005</v>
      </c>
      <c r="J76">
        <v>0.64400000000000002</v>
      </c>
      <c r="K76">
        <v>0.35299999999999998</v>
      </c>
      <c r="L76">
        <v>0.8</v>
      </c>
      <c r="M76">
        <v>3.5</v>
      </c>
      <c r="N76" s="12">
        <v>532358</v>
      </c>
      <c r="O76" s="12">
        <v>203983</v>
      </c>
      <c r="P76" s="12">
        <v>311332</v>
      </c>
      <c r="Q76">
        <v>0.12045</v>
      </c>
      <c r="R76">
        <v>5.1339063499999997E-2</v>
      </c>
      <c r="S76">
        <v>0.7238</v>
      </c>
      <c r="T76">
        <v>0.36199999999999999</v>
      </c>
      <c r="U76" s="12">
        <v>26634</v>
      </c>
      <c r="V76" s="12">
        <v>736341</v>
      </c>
    </row>
    <row r="77" spans="1:22">
      <c r="A77" t="s">
        <v>37</v>
      </c>
      <c r="B77">
        <v>13</v>
      </c>
      <c r="C77">
        <v>7</v>
      </c>
      <c r="D77" t="s">
        <v>40</v>
      </c>
      <c r="E77">
        <v>0.104</v>
      </c>
      <c r="F77">
        <v>7.3999999999999996E-2</v>
      </c>
      <c r="G77">
        <v>6.1600000000000002E-2</v>
      </c>
      <c r="H77">
        <v>5.9200000000000003E-2</v>
      </c>
      <c r="I77">
        <v>0.80400000000000005</v>
      </c>
      <c r="J77">
        <v>0.67100000000000004</v>
      </c>
      <c r="K77">
        <v>0.32900000000000001</v>
      </c>
      <c r="L77">
        <v>0.83499999999999996</v>
      </c>
      <c r="M77">
        <v>3.7</v>
      </c>
      <c r="N77" s="12">
        <v>4664687</v>
      </c>
      <c r="O77" s="12">
        <v>1933062</v>
      </c>
      <c r="P77" s="12">
        <v>243187</v>
      </c>
      <c r="Q77">
        <v>0.1208</v>
      </c>
      <c r="R77">
        <v>5.1488243000000003E-2</v>
      </c>
      <c r="S77">
        <v>0.58540000000000003</v>
      </c>
      <c r="T77">
        <v>0.29299999999999998</v>
      </c>
      <c r="U77" s="12">
        <v>25296</v>
      </c>
      <c r="V77" s="12">
        <v>6597749</v>
      </c>
    </row>
    <row r="78" spans="1:22">
      <c r="A78" t="s">
        <v>37</v>
      </c>
      <c r="B78">
        <v>13</v>
      </c>
      <c r="C78">
        <v>7</v>
      </c>
      <c r="D78" t="s">
        <v>40</v>
      </c>
      <c r="E78">
        <v>8.8999999999999996E-2</v>
      </c>
      <c r="F78">
        <v>9.9000000000000005E-2</v>
      </c>
      <c r="G78">
        <v>6.3399999999999998E-2</v>
      </c>
      <c r="H78">
        <v>5.74E-2</v>
      </c>
      <c r="I78">
        <v>0.80600000000000005</v>
      </c>
      <c r="J78">
        <v>0.626</v>
      </c>
      <c r="K78">
        <v>0.372</v>
      </c>
      <c r="L78">
        <v>0.77800000000000002</v>
      </c>
      <c r="M78">
        <v>3.5</v>
      </c>
      <c r="N78" s="12">
        <v>4963443</v>
      </c>
      <c r="O78" s="12">
        <v>2162604</v>
      </c>
      <c r="P78" s="12">
        <v>355527</v>
      </c>
      <c r="Q78">
        <v>0.1208</v>
      </c>
      <c r="R78">
        <v>5.1488243000000003E-2</v>
      </c>
      <c r="S78">
        <v>0.75880000000000003</v>
      </c>
      <c r="T78">
        <v>0.37959999999999999</v>
      </c>
      <c r="U78">
        <v>2.5299999999999998</v>
      </c>
      <c r="V78" s="12">
        <v>7126047</v>
      </c>
    </row>
    <row r="79" spans="1:22">
      <c r="A79" t="s">
        <v>37</v>
      </c>
      <c r="B79">
        <v>14</v>
      </c>
      <c r="C79">
        <v>10</v>
      </c>
      <c r="D79" t="s">
        <v>40</v>
      </c>
      <c r="E79">
        <v>0.125</v>
      </c>
      <c r="F79">
        <v>0.12859999999999999</v>
      </c>
      <c r="G79">
        <v>5.4000000000000003E-3</v>
      </c>
      <c r="H79">
        <v>1.3299999999999999E-2</v>
      </c>
      <c r="I79">
        <v>0.81599999999999995</v>
      </c>
      <c r="J79">
        <v>0.54800000000000004</v>
      </c>
      <c r="K79">
        <v>0.46200000000000002</v>
      </c>
      <c r="L79">
        <v>0.66700000000000004</v>
      </c>
      <c r="M79">
        <v>3</v>
      </c>
      <c r="N79" s="12">
        <v>4034161</v>
      </c>
      <c r="O79" s="12">
        <v>1520364</v>
      </c>
      <c r="P79" s="12">
        <v>1590693</v>
      </c>
      <c r="Q79">
        <v>1.8700000000000001E-2</v>
      </c>
      <c r="R79">
        <v>5.5793140000000001E-3</v>
      </c>
      <c r="S79" s="12">
        <v>14486</v>
      </c>
      <c r="T79">
        <v>0.72460000000000002</v>
      </c>
      <c r="U79" s="12">
        <v>3774</v>
      </c>
      <c r="V79" s="12">
        <v>5554525</v>
      </c>
    </row>
    <row r="80" spans="1:22">
      <c r="A80" t="s">
        <v>37</v>
      </c>
      <c r="B80">
        <v>14</v>
      </c>
      <c r="C80">
        <v>10</v>
      </c>
      <c r="D80" t="s">
        <v>40</v>
      </c>
      <c r="E80">
        <v>0.11799999999999999</v>
      </c>
      <c r="F80">
        <v>0.127</v>
      </c>
      <c r="G80">
        <v>5.64E-3</v>
      </c>
      <c r="H80">
        <v>9.9000000000000008E-3</v>
      </c>
      <c r="I80">
        <v>0.81100000000000005</v>
      </c>
      <c r="J80">
        <v>0.53800000000000003</v>
      </c>
      <c r="K80">
        <v>0.47</v>
      </c>
      <c r="L80">
        <v>0.65900000000000003</v>
      </c>
      <c r="M80">
        <v>3</v>
      </c>
      <c r="N80" s="12">
        <v>3667525</v>
      </c>
      <c r="O80" s="12">
        <v>1281102</v>
      </c>
      <c r="P80" s="12">
        <v>1589668</v>
      </c>
      <c r="Q80">
        <v>1.47E-2</v>
      </c>
      <c r="R80">
        <v>4.3858780000000002E-3</v>
      </c>
      <c r="S80" s="12">
        <v>1001</v>
      </c>
      <c r="T80">
        <v>0.50080000000000002</v>
      </c>
      <c r="U80" s="12">
        <v>33762</v>
      </c>
      <c r="V80" s="12">
        <v>4948627</v>
      </c>
    </row>
    <row r="81" spans="1:22">
      <c r="A81" t="s">
        <v>37</v>
      </c>
      <c r="B81">
        <v>14</v>
      </c>
      <c r="C81">
        <v>10</v>
      </c>
      <c r="D81" t="s">
        <v>40</v>
      </c>
      <c r="E81">
        <v>0.14199999999999999</v>
      </c>
      <c r="F81">
        <v>0.13100000000000001</v>
      </c>
      <c r="G81">
        <v>5.7999999999999996E-3</v>
      </c>
      <c r="H81">
        <v>1.24E-2</v>
      </c>
      <c r="I81">
        <v>0.81699999999999995</v>
      </c>
      <c r="J81">
        <v>0.53200000000000003</v>
      </c>
      <c r="K81">
        <v>0.47599999999999998</v>
      </c>
      <c r="L81">
        <v>0.64700000000000002</v>
      </c>
      <c r="M81">
        <v>3</v>
      </c>
      <c r="N81" s="12">
        <v>3022161</v>
      </c>
      <c r="O81">
        <v>128.5</v>
      </c>
      <c r="P81" s="12">
        <v>1795011</v>
      </c>
      <c r="Q81">
        <v>1.8200000000000001E-2</v>
      </c>
      <c r="R81">
        <v>5.4301339999999997E-3</v>
      </c>
      <c r="S81" s="12">
        <v>1134</v>
      </c>
      <c r="T81">
        <v>0.56720000000000004</v>
      </c>
      <c r="U81" s="12">
        <v>34526</v>
      </c>
      <c r="V81" s="12">
        <v>4307161</v>
      </c>
    </row>
    <row r="82" spans="1:22">
      <c r="A82" t="s">
        <v>37</v>
      </c>
      <c r="B82">
        <v>14</v>
      </c>
      <c r="C82">
        <v>10</v>
      </c>
      <c r="D82" t="s">
        <v>40</v>
      </c>
      <c r="E82">
        <v>0.14199999999999999</v>
      </c>
      <c r="F82">
        <v>0.13200000000000001</v>
      </c>
      <c r="G82">
        <v>6.1999999999999998E-3</v>
      </c>
      <c r="H82">
        <v>1.0800000000000001E-2</v>
      </c>
      <c r="I82">
        <v>0.81299999999999994</v>
      </c>
      <c r="J82">
        <v>0.55400000000000005</v>
      </c>
      <c r="K82">
        <v>0.44800000000000001</v>
      </c>
      <c r="L82">
        <v>0.68</v>
      </c>
      <c r="M82">
        <v>3</v>
      </c>
      <c r="N82" s="12">
        <v>3527794</v>
      </c>
      <c r="O82" s="12">
        <v>1994941</v>
      </c>
      <c r="P82" s="12">
        <v>2805415</v>
      </c>
      <c r="Q82">
        <v>1.7000000000000001E-2</v>
      </c>
      <c r="R82">
        <v>5.0721029999999997E-3</v>
      </c>
      <c r="S82" s="12">
        <v>16764</v>
      </c>
      <c r="T82">
        <v>0.83819999999999995</v>
      </c>
      <c r="U82" s="12">
        <v>47526</v>
      </c>
      <c r="V82" s="12">
        <v>5522735</v>
      </c>
    </row>
    <row r="83" spans="1:22">
      <c r="A83" t="s">
        <v>37</v>
      </c>
      <c r="B83">
        <v>14</v>
      </c>
      <c r="C83">
        <v>10</v>
      </c>
      <c r="D83" t="s">
        <v>40</v>
      </c>
      <c r="E83">
        <v>0.13700000000000001</v>
      </c>
      <c r="F83">
        <v>0.123</v>
      </c>
      <c r="G83">
        <v>5.4000000000000003E-3</v>
      </c>
      <c r="H83">
        <v>9.5999999999999992E-3</v>
      </c>
      <c r="I83">
        <v>0.81100000000000005</v>
      </c>
      <c r="J83">
        <v>0.54900000000000004</v>
      </c>
      <c r="K83">
        <v>0.45600000000000002</v>
      </c>
      <c r="L83">
        <v>0.67400000000000004</v>
      </c>
      <c r="M83">
        <v>3</v>
      </c>
      <c r="N83" s="12">
        <v>3708018</v>
      </c>
      <c r="O83" s="12">
        <v>2553091</v>
      </c>
      <c r="P83" s="12">
        <v>1637331</v>
      </c>
      <c r="Q83">
        <v>1.4999999999999999E-2</v>
      </c>
      <c r="R83">
        <v>4.4753850000000001E-3</v>
      </c>
      <c r="S83" s="12">
        <v>14072</v>
      </c>
      <c r="T83">
        <v>0.70399999999999996</v>
      </c>
      <c r="U83" s="12">
        <v>4545</v>
      </c>
      <c r="V83" s="12">
        <v>6261109</v>
      </c>
    </row>
    <row r="84" spans="1:22">
      <c r="A84" t="s">
        <v>37</v>
      </c>
      <c r="B84">
        <v>14</v>
      </c>
      <c r="C84">
        <v>10</v>
      </c>
      <c r="D84" t="s">
        <v>40</v>
      </c>
      <c r="E84">
        <v>0.128</v>
      </c>
      <c r="F84">
        <v>0.13</v>
      </c>
      <c r="G84">
        <v>5.4000000000000003E-3</v>
      </c>
      <c r="H84">
        <v>1.04E-2</v>
      </c>
      <c r="I84">
        <v>0.81499999999999995</v>
      </c>
      <c r="J84">
        <v>0.51700000000000002</v>
      </c>
      <c r="K84">
        <v>0.48599999999999999</v>
      </c>
      <c r="L84">
        <v>0.63300000000000001</v>
      </c>
      <c r="M84">
        <v>3</v>
      </c>
      <c r="N84" s="12">
        <v>3937423</v>
      </c>
      <c r="O84" s="12">
        <v>1905769</v>
      </c>
      <c r="P84" s="12">
        <v>2216695</v>
      </c>
      <c r="Q84">
        <v>1.5800000000000002E-2</v>
      </c>
      <c r="R84">
        <v>4.714073E-3</v>
      </c>
      <c r="S84" s="12">
        <v>13364</v>
      </c>
      <c r="T84">
        <v>0.66839999999999999</v>
      </c>
      <c r="U84" s="12">
        <v>44214</v>
      </c>
      <c r="V84" s="12">
        <v>5843192</v>
      </c>
    </row>
    <row r="85" spans="1:22">
      <c r="A85" t="s">
        <v>37</v>
      </c>
      <c r="B85">
        <v>15</v>
      </c>
      <c r="C85">
        <v>13</v>
      </c>
      <c r="D85" t="s">
        <v>40</v>
      </c>
      <c r="E85">
        <v>0.16900000000000001</v>
      </c>
      <c r="F85">
        <v>0.121</v>
      </c>
      <c r="G85">
        <v>6.0000000000000001E-3</v>
      </c>
      <c r="H85">
        <v>1.11E-2</v>
      </c>
      <c r="I85">
        <v>0.80400000000000005</v>
      </c>
      <c r="J85">
        <v>0.51900000000000002</v>
      </c>
      <c r="K85">
        <v>0.495</v>
      </c>
      <c r="L85">
        <v>0.63800000000000001</v>
      </c>
      <c r="M85">
        <v>2.9</v>
      </c>
      <c r="N85" s="12">
        <v>56530225</v>
      </c>
      <c r="O85">
        <v>444.88</v>
      </c>
      <c r="P85" s="12">
        <v>2282467</v>
      </c>
      <c r="Q85">
        <v>1.7100000000000001E-2</v>
      </c>
      <c r="R85">
        <v>3.9245690000000001E-3</v>
      </c>
      <c r="S85" s="12">
        <v>1004</v>
      </c>
      <c r="T85">
        <v>0.50219999999999998</v>
      </c>
      <c r="U85" s="12">
        <v>5059</v>
      </c>
      <c r="V85" s="12">
        <v>946257</v>
      </c>
    </row>
    <row r="86" spans="1:22">
      <c r="A86" t="s">
        <v>37</v>
      </c>
      <c r="B86">
        <v>15</v>
      </c>
      <c r="C86">
        <v>13</v>
      </c>
      <c r="D86" t="s">
        <v>40</v>
      </c>
      <c r="E86">
        <v>0.17299999999999999</v>
      </c>
      <c r="F86">
        <v>0.124</v>
      </c>
      <c r="G86">
        <v>5.7999999999999996E-3</v>
      </c>
      <c r="H86">
        <v>1.2200000000000001E-2</v>
      </c>
      <c r="I86">
        <v>0.80700000000000005</v>
      </c>
      <c r="J86">
        <v>0.5</v>
      </c>
      <c r="K86">
        <v>0.51300000000000001</v>
      </c>
      <c r="L86">
        <v>0.61399999999999999</v>
      </c>
      <c r="M86">
        <v>2.8</v>
      </c>
      <c r="N86" s="12">
        <v>5767575</v>
      </c>
      <c r="O86" s="12">
        <v>4245145</v>
      </c>
      <c r="P86" s="12">
        <v>2598989</v>
      </c>
      <c r="Q86">
        <v>1.7999999999999999E-2</v>
      </c>
      <c r="R86">
        <v>4.1311250000000002E-3</v>
      </c>
      <c r="S86">
        <v>0.96160000000000001</v>
      </c>
      <c r="T86">
        <v>0.48099999999999998</v>
      </c>
      <c r="U86" s="12">
        <v>5013</v>
      </c>
      <c r="V86" s="12">
        <v>9086575</v>
      </c>
    </row>
    <row r="87" spans="1:22">
      <c r="A87" t="s">
        <v>37</v>
      </c>
      <c r="B87">
        <v>15</v>
      </c>
      <c r="C87">
        <v>13</v>
      </c>
      <c r="D87" t="s">
        <v>40</v>
      </c>
      <c r="E87">
        <v>0.20499999999999999</v>
      </c>
      <c r="F87">
        <v>0.13900000000000001</v>
      </c>
      <c r="G87">
        <v>7.7999999999999996E-3</v>
      </c>
      <c r="H87">
        <v>1.3899999999999999E-2</v>
      </c>
      <c r="I87">
        <v>0.80200000000000005</v>
      </c>
      <c r="J87">
        <v>0.50800000000000001</v>
      </c>
      <c r="K87">
        <v>0.50800000000000001</v>
      </c>
      <c r="L87">
        <v>0.626</v>
      </c>
      <c r="M87">
        <v>2.9</v>
      </c>
      <c r="N87" s="12">
        <v>5679196</v>
      </c>
      <c r="O87" s="12">
        <v>4389745</v>
      </c>
      <c r="P87" s="12">
        <v>2408464</v>
      </c>
      <c r="Q87">
        <v>2.1700000000000001E-2</v>
      </c>
      <c r="R87">
        <v>4.9803010000000003E-3</v>
      </c>
      <c r="S87" s="12">
        <v>12126</v>
      </c>
      <c r="T87">
        <v>0.60660000000000003</v>
      </c>
      <c r="U87" s="12">
        <v>55378</v>
      </c>
      <c r="V87" s="12">
        <v>10068941</v>
      </c>
    </row>
    <row r="88" spans="1:22">
      <c r="A88" t="s">
        <v>37</v>
      </c>
      <c r="B88">
        <v>15</v>
      </c>
      <c r="C88">
        <v>13</v>
      </c>
      <c r="D88" t="s">
        <v>40</v>
      </c>
      <c r="E88">
        <v>0.127</v>
      </c>
      <c r="F88">
        <v>0.13400000000000001</v>
      </c>
      <c r="G88">
        <v>7.9000000000000008E-3</v>
      </c>
      <c r="H88">
        <v>1.12E-2</v>
      </c>
      <c r="I88">
        <v>0.80800000000000005</v>
      </c>
      <c r="J88">
        <v>0.54700000000000004</v>
      </c>
      <c r="K88">
        <v>0.46600000000000003</v>
      </c>
      <c r="L88">
        <v>0.67100000000000004</v>
      </c>
      <c r="M88">
        <v>3.3</v>
      </c>
      <c r="N88" s="12">
        <v>56530225</v>
      </c>
      <c r="O88" s="12">
        <v>399199</v>
      </c>
      <c r="P88" s="12">
        <v>2758419</v>
      </c>
      <c r="Q88">
        <v>1.9099999999999999E-2</v>
      </c>
      <c r="R88">
        <v>4.3835829999999999E-3</v>
      </c>
      <c r="S88">
        <v>0.82920000000000005</v>
      </c>
      <c r="T88">
        <v>0.41499999999999998</v>
      </c>
      <c r="U88" s="12">
        <v>35472</v>
      </c>
      <c r="V88" s="12">
        <v>1009941</v>
      </c>
    </row>
    <row r="89" spans="1:22">
      <c r="A89" t="s">
        <v>37</v>
      </c>
      <c r="B89">
        <v>15</v>
      </c>
      <c r="C89">
        <v>13</v>
      </c>
      <c r="D89" t="s">
        <v>40</v>
      </c>
      <c r="E89">
        <v>0.152</v>
      </c>
      <c r="F89">
        <v>0.14000000000000001</v>
      </c>
      <c r="G89">
        <v>6.7999999999999996E-3</v>
      </c>
      <c r="H89">
        <v>1.2800000000000001E-2</v>
      </c>
      <c r="I89">
        <v>0.79500000000000004</v>
      </c>
      <c r="J89">
        <v>0.54100000000000004</v>
      </c>
      <c r="K89">
        <v>0.46800000000000003</v>
      </c>
      <c r="L89">
        <v>0.67500000000000004</v>
      </c>
      <c r="M89">
        <v>3.2</v>
      </c>
      <c r="N89" s="12">
        <v>5466406</v>
      </c>
      <c r="O89" s="12">
        <v>4146132</v>
      </c>
      <c r="P89" s="12">
        <v>238102</v>
      </c>
      <c r="Q89">
        <v>1.9599999999999999E-2</v>
      </c>
      <c r="R89">
        <v>4.4983360000000003E-3</v>
      </c>
      <c r="S89" s="12">
        <v>11222</v>
      </c>
      <c r="T89">
        <v>0.56140000000000001</v>
      </c>
      <c r="U89" s="12">
        <v>38998</v>
      </c>
      <c r="V89" s="12">
        <v>9612538</v>
      </c>
    </row>
    <row r="90" spans="1:22">
      <c r="A90" t="s">
        <v>37</v>
      </c>
      <c r="B90">
        <v>15</v>
      </c>
      <c r="C90">
        <v>13</v>
      </c>
      <c r="D90" t="s">
        <v>40</v>
      </c>
      <c r="E90">
        <v>0.13</v>
      </c>
      <c r="F90">
        <v>0.15</v>
      </c>
      <c r="G90">
        <v>6.8599999999999998E-3</v>
      </c>
      <c r="H90">
        <v>1.21E-2</v>
      </c>
      <c r="I90">
        <v>0.80700000000000005</v>
      </c>
      <c r="J90">
        <v>0.54300000000000004</v>
      </c>
      <c r="K90">
        <v>0.47</v>
      </c>
      <c r="L90">
        <v>0.66700000000000004</v>
      </c>
      <c r="M90">
        <v>3.2</v>
      </c>
      <c r="N90" s="12">
        <v>5698913</v>
      </c>
      <c r="O90" s="12">
        <v>4249058</v>
      </c>
      <c r="P90" s="12">
        <v>2273943</v>
      </c>
      <c r="Q90">
        <v>1.95E-2</v>
      </c>
      <c r="R90">
        <v>4.4753850000000001E-3</v>
      </c>
      <c r="S90" s="12">
        <v>12246</v>
      </c>
      <c r="T90">
        <v>0.61260000000000003</v>
      </c>
      <c r="U90" s="12">
        <v>35602</v>
      </c>
      <c r="V90" s="12">
        <v>9947971</v>
      </c>
    </row>
    <row r="91" spans="1:22">
      <c r="A91" t="s">
        <v>37</v>
      </c>
      <c r="B91">
        <v>16</v>
      </c>
      <c r="C91">
        <v>7</v>
      </c>
      <c r="D91" t="s">
        <v>41</v>
      </c>
      <c r="E91">
        <v>9.0999999999999998E-2</v>
      </c>
      <c r="F91">
        <v>0.10199999999999999</v>
      </c>
      <c r="G91">
        <v>6.2199999999999998E-2</v>
      </c>
      <c r="H91">
        <v>5.6599999999999998E-2</v>
      </c>
      <c r="I91">
        <v>0.79900000000000004</v>
      </c>
      <c r="J91">
        <v>0.74</v>
      </c>
      <c r="K91">
        <v>0.252</v>
      </c>
      <c r="L91">
        <v>0.93300000000000005</v>
      </c>
      <c r="M91">
        <v>4.0999999999999996</v>
      </c>
      <c r="N91" s="12">
        <v>363201</v>
      </c>
      <c r="O91" s="12">
        <v>1625433</v>
      </c>
      <c r="P91" s="12">
        <v>184942</v>
      </c>
      <c r="Q91">
        <v>0.1188</v>
      </c>
      <c r="R91">
        <v>4.6603464999999997E-2</v>
      </c>
      <c r="S91" s="12">
        <v>10498</v>
      </c>
      <c r="T91">
        <v>0.5252</v>
      </c>
      <c r="U91" s="12">
        <v>35938</v>
      </c>
      <c r="V91" s="12">
        <v>5257443</v>
      </c>
    </row>
    <row r="92" spans="1:22">
      <c r="A92" t="s">
        <v>37</v>
      </c>
      <c r="B92">
        <v>16</v>
      </c>
      <c r="C92">
        <v>7</v>
      </c>
      <c r="D92" t="s">
        <v>41</v>
      </c>
      <c r="E92">
        <v>7.6999999999999999E-2</v>
      </c>
      <c r="F92">
        <v>9.8000000000000004E-2</v>
      </c>
      <c r="G92">
        <v>6.3100000000000003E-2</v>
      </c>
      <c r="H92">
        <v>5.7599999999999998E-2</v>
      </c>
      <c r="I92">
        <v>0.80400000000000005</v>
      </c>
      <c r="J92">
        <v>0.73799999999999999</v>
      </c>
      <c r="K92">
        <v>0.25600000000000001</v>
      </c>
      <c r="L92">
        <v>0.92300000000000004</v>
      </c>
      <c r="M92">
        <v>4.2</v>
      </c>
      <c r="N92" s="12">
        <v>3030889</v>
      </c>
      <c r="O92" s="12">
        <v>2394778</v>
      </c>
      <c r="P92" s="12">
        <v>-1037</v>
      </c>
      <c r="Q92">
        <v>0.1207</v>
      </c>
      <c r="R92">
        <v>4.7348807E-2</v>
      </c>
      <c r="S92" s="12">
        <v>11092</v>
      </c>
      <c r="T92">
        <v>0.55500000000000005</v>
      </c>
      <c r="U92" s="12">
        <v>32314</v>
      </c>
      <c r="V92" s="12">
        <v>5425667</v>
      </c>
    </row>
    <row r="93" spans="1:22">
      <c r="A93" t="s">
        <v>37</v>
      </c>
      <c r="B93">
        <v>16</v>
      </c>
      <c r="C93">
        <v>7</v>
      </c>
      <c r="D93" t="s">
        <v>41</v>
      </c>
      <c r="E93">
        <v>8.8999999999999996E-2</v>
      </c>
      <c r="F93">
        <v>0.113</v>
      </c>
      <c r="G93">
        <v>6.2740000000000004E-2</v>
      </c>
      <c r="H93">
        <v>5.6599999999999998E-2</v>
      </c>
      <c r="I93">
        <v>0.8</v>
      </c>
      <c r="J93">
        <v>0.753</v>
      </c>
      <c r="K93">
        <v>0.24199999999999999</v>
      </c>
      <c r="L93">
        <v>0.94599999999999995</v>
      </c>
      <c r="M93">
        <v>4.3</v>
      </c>
      <c r="N93" s="12">
        <v>4111358</v>
      </c>
      <c r="O93" s="12">
        <v>1858104</v>
      </c>
      <c r="P93" s="12">
        <v>207922</v>
      </c>
      <c r="Q93">
        <v>0.1249</v>
      </c>
      <c r="R93">
        <v>4.8996404E-2</v>
      </c>
      <c r="S93">
        <v>0.89319999999999999</v>
      </c>
      <c r="T93">
        <v>0.44700000000000001</v>
      </c>
      <c r="U93" s="12">
        <v>40186</v>
      </c>
      <c r="V93" s="12">
        <v>5969462</v>
      </c>
    </row>
    <row r="94" spans="1:22">
      <c r="A94" t="s">
        <v>37</v>
      </c>
      <c r="B94">
        <v>16</v>
      </c>
      <c r="C94">
        <v>7</v>
      </c>
      <c r="D94" t="s">
        <v>41</v>
      </c>
      <c r="E94">
        <v>7.2999999999999995E-2</v>
      </c>
      <c r="F94">
        <v>9.5000000000000001E-2</v>
      </c>
      <c r="G94">
        <v>6.3799999999999996E-2</v>
      </c>
      <c r="H94">
        <v>5.8200000000000002E-2</v>
      </c>
      <c r="I94">
        <v>0.81</v>
      </c>
      <c r="J94">
        <v>0.61199999999999999</v>
      </c>
      <c r="K94">
        <v>0.38800000000000001</v>
      </c>
      <c r="L94">
        <v>0.75600000000000001</v>
      </c>
      <c r="M94">
        <v>3.4</v>
      </c>
      <c r="N94" s="12">
        <v>4080157</v>
      </c>
      <c r="O94" s="12">
        <v>2676565</v>
      </c>
      <c r="P94" s="12">
        <v>91579</v>
      </c>
      <c r="Q94">
        <v>0.122</v>
      </c>
      <c r="R94">
        <v>4.7858776999999998E-2</v>
      </c>
      <c r="S94">
        <v>0.69140000000000001</v>
      </c>
      <c r="T94">
        <v>0.34599999999999997</v>
      </c>
      <c r="U94" s="12">
        <v>19332</v>
      </c>
      <c r="V94" s="12">
        <v>6756722</v>
      </c>
    </row>
    <row r="95" spans="1:22">
      <c r="A95" t="s">
        <v>37</v>
      </c>
      <c r="B95">
        <v>16</v>
      </c>
      <c r="C95">
        <v>7</v>
      </c>
      <c r="D95" t="s">
        <v>41</v>
      </c>
      <c r="E95">
        <v>9.4E-2</v>
      </c>
      <c r="F95">
        <v>0.11700000000000001</v>
      </c>
      <c r="G95">
        <v>6.2700000000000006E-2</v>
      </c>
      <c r="H95">
        <v>5.5599999999999997E-2</v>
      </c>
      <c r="I95">
        <v>0.81399999999999995</v>
      </c>
      <c r="J95">
        <v>0.60699999999999998</v>
      </c>
      <c r="K95">
        <v>0.39300000000000002</v>
      </c>
      <c r="L95">
        <v>0.746</v>
      </c>
      <c r="M95">
        <v>3.4</v>
      </c>
      <c r="N95" s="12">
        <v>3060673</v>
      </c>
      <c r="O95" s="12">
        <v>2928718</v>
      </c>
      <c r="P95" s="12">
        <v>36233</v>
      </c>
      <c r="Q95">
        <v>0.1183</v>
      </c>
      <c r="R95">
        <v>4.6407323E-2</v>
      </c>
      <c r="S95">
        <v>0.622</v>
      </c>
      <c r="T95">
        <v>0.31119999999999998</v>
      </c>
      <c r="U95" s="12">
        <v>19168</v>
      </c>
      <c r="V95" s="12">
        <v>5989391</v>
      </c>
    </row>
    <row r="96" spans="1:22">
      <c r="A96" t="s">
        <v>37</v>
      </c>
      <c r="B96">
        <v>16</v>
      </c>
      <c r="C96">
        <v>7</v>
      </c>
      <c r="D96" t="s">
        <v>41</v>
      </c>
      <c r="E96">
        <v>9.4E-2</v>
      </c>
      <c r="F96">
        <v>9.7000000000000003E-2</v>
      </c>
      <c r="G96">
        <v>6.1899999999999997E-2</v>
      </c>
      <c r="H96">
        <v>5.7299999999999997E-2</v>
      </c>
      <c r="I96">
        <v>0.81200000000000006</v>
      </c>
      <c r="J96">
        <v>0.59099999999999997</v>
      </c>
      <c r="K96">
        <v>0.40600000000000003</v>
      </c>
      <c r="L96">
        <v>0.73</v>
      </c>
      <c r="M96">
        <v>3.3</v>
      </c>
      <c r="N96" s="12">
        <v>335999</v>
      </c>
      <c r="O96" s="12">
        <v>335926</v>
      </c>
      <c r="P96" s="12">
        <v>22906</v>
      </c>
      <c r="Q96">
        <v>0.1192</v>
      </c>
      <c r="R96">
        <v>4.6760378999999998E-2</v>
      </c>
      <c r="S96">
        <v>0.59760000000000002</v>
      </c>
      <c r="T96">
        <v>0.29899999999999999</v>
      </c>
      <c r="U96" s="12">
        <v>23826</v>
      </c>
      <c r="V96" s="12">
        <v>671925</v>
      </c>
    </row>
    <row r="97" spans="1:22">
      <c r="A97" t="s">
        <v>37</v>
      </c>
      <c r="B97">
        <v>17</v>
      </c>
      <c r="C97">
        <v>10</v>
      </c>
      <c r="D97" t="s">
        <v>41</v>
      </c>
      <c r="E97">
        <v>0.13</v>
      </c>
      <c r="F97">
        <v>0.161</v>
      </c>
      <c r="G97">
        <v>4.4000000000000003E-3</v>
      </c>
      <c r="H97">
        <v>1.34E-2</v>
      </c>
      <c r="I97">
        <v>0.80800000000000005</v>
      </c>
      <c r="J97">
        <v>0.54</v>
      </c>
      <c r="K97">
        <v>0.46500000000000002</v>
      </c>
      <c r="L97">
        <v>0.66600000000000004</v>
      </c>
      <c r="M97">
        <v>3</v>
      </c>
      <c r="N97" s="12">
        <v>2175316</v>
      </c>
      <c r="O97" s="12">
        <v>3848289</v>
      </c>
      <c r="P97" s="12">
        <v>1231649</v>
      </c>
      <c r="Q97">
        <v>1.5800000000000002E-2</v>
      </c>
      <c r="R97">
        <v>1.78E-2</v>
      </c>
      <c r="S97">
        <v>4.8878719999999997E-3</v>
      </c>
      <c r="T97" s="12">
        <v>1255</v>
      </c>
      <c r="U97">
        <v>0.62780000000000002</v>
      </c>
      <c r="V97" s="12">
        <v>3311</v>
      </c>
    </row>
    <row r="98" spans="1:22">
      <c r="A98" t="s">
        <v>37</v>
      </c>
      <c r="B98">
        <v>17</v>
      </c>
      <c r="C98">
        <v>10</v>
      </c>
      <c r="D98" t="s">
        <v>41</v>
      </c>
      <c r="E98">
        <v>0.105</v>
      </c>
      <c r="F98">
        <v>0.14099999999999999</v>
      </c>
      <c r="G98">
        <v>4.5999999999999999E-3</v>
      </c>
      <c r="H98">
        <v>1.1900000000000001E-2</v>
      </c>
      <c r="I98">
        <v>0.80600000000000005</v>
      </c>
      <c r="J98">
        <v>0.54200000000000004</v>
      </c>
      <c r="K98">
        <v>0.46300000000000002</v>
      </c>
      <c r="L98">
        <v>0.67</v>
      </c>
      <c r="M98">
        <v>3</v>
      </c>
      <c r="N98" s="12">
        <v>4412094</v>
      </c>
      <c r="O98" s="12">
        <v>3833264</v>
      </c>
      <c r="P98" s="12">
        <v>151335</v>
      </c>
      <c r="Q98">
        <v>1.7100000000000001E-2</v>
      </c>
      <c r="R98">
        <v>1.6500000000000001E-2</v>
      </c>
      <c r="S98">
        <v>4.5308919999999999E-3</v>
      </c>
      <c r="T98">
        <v>0.85160000000000002</v>
      </c>
      <c r="U98">
        <v>0.42620000000000002</v>
      </c>
      <c r="V98" s="12">
        <v>28216</v>
      </c>
    </row>
    <row r="99" spans="1:22">
      <c r="A99" t="s">
        <v>37</v>
      </c>
      <c r="B99">
        <v>17</v>
      </c>
      <c r="C99">
        <v>10</v>
      </c>
      <c r="D99" t="s">
        <v>41</v>
      </c>
      <c r="E99">
        <v>0.13500000000000001</v>
      </c>
      <c r="F99">
        <v>0.13</v>
      </c>
      <c r="G99">
        <v>5.4000000000000003E-3</v>
      </c>
      <c r="H99">
        <v>1.0500000000000001E-2</v>
      </c>
      <c r="I99">
        <v>0.81299999999999994</v>
      </c>
      <c r="J99">
        <v>0.58599999999999997</v>
      </c>
      <c r="K99">
        <v>0.41799999999999998</v>
      </c>
      <c r="L99">
        <v>0.71799999999999997</v>
      </c>
      <c r="M99">
        <v>3.3</v>
      </c>
      <c r="N99" s="12">
        <v>3102909</v>
      </c>
      <c r="O99" s="12">
        <v>3580682</v>
      </c>
      <c r="P99" s="12">
        <v>1344434</v>
      </c>
      <c r="Q99">
        <v>1.6400000000000001E-2</v>
      </c>
      <c r="R99">
        <v>1.5900000000000001E-2</v>
      </c>
      <c r="S99">
        <v>4.3661330000000003E-3</v>
      </c>
      <c r="T99">
        <v>0.84460000000000002</v>
      </c>
      <c r="U99">
        <v>0.4224</v>
      </c>
      <c r="V99" s="12">
        <v>35248</v>
      </c>
    </row>
    <row r="100" spans="1:22">
      <c r="A100" t="s">
        <v>37</v>
      </c>
      <c r="B100">
        <v>17</v>
      </c>
      <c r="C100">
        <v>10</v>
      </c>
      <c r="D100" t="s">
        <v>41</v>
      </c>
      <c r="E100">
        <v>0.14000000000000001</v>
      </c>
      <c r="F100">
        <v>0.13900000000000001</v>
      </c>
      <c r="G100">
        <v>5.4000000000000003E-3</v>
      </c>
      <c r="H100">
        <v>1.0800000000000001E-2</v>
      </c>
      <c r="I100">
        <v>0.81200000000000006</v>
      </c>
      <c r="J100">
        <v>0.52800000000000002</v>
      </c>
      <c r="K100">
        <v>0.47399999999999998</v>
      </c>
      <c r="L100">
        <v>0.64900000000000002</v>
      </c>
      <c r="M100">
        <v>3</v>
      </c>
      <c r="N100" s="12">
        <v>3088635</v>
      </c>
      <c r="O100" s="12">
        <v>3418596</v>
      </c>
      <c r="P100" s="12">
        <v>1475888</v>
      </c>
      <c r="Q100">
        <v>1.83E-2</v>
      </c>
      <c r="R100">
        <v>1.6199999999999999E-2</v>
      </c>
      <c r="S100">
        <v>4.4485130000000003E-3</v>
      </c>
      <c r="T100" s="12">
        <v>10498</v>
      </c>
      <c r="U100">
        <v>0.5252</v>
      </c>
      <c r="V100" s="12">
        <v>35938</v>
      </c>
    </row>
    <row r="101" spans="1:22">
      <c r="A101" t="s">
        <v>37</v>
      </c>
      <c r="B101">
        <v>17</v>
      </c>
      <c r="C101">
        <v>10</v>
      </c>
      <c r="D101" t="s">
        <v>41</v>
      </c>
      <c r="E101">
        <v>0.122</v>
      </c>
      <c r="F101">
        <v>0.154</v>
      </c>
      <c r="G101">
        <v>5.7000000000000002E-3</v>
      </c>
      <c r="H101">
        <v>1.11E-2</v>
      </c>
      <c r="I101">
        <v>0.80300000000000005</v>
      </c>
      <c r="J101">
        <v>0.54600000000000004</v>
      </c>
      <c r="K101">
        <v>0.45600000000000002</v>
      </c>
      <c r="L101">
        <v>0.67900000000000005</v>
      </c>
      <c r="M101">
        <v>3.1</v>
      </c>
      <c r="N101">
        <v>319.7</v>
      </c>
      <c r="O101" s="12">
        <v>372584</v>
      </c>
      <c r="P101" s="12">
        <v>1615175</v>
      </c>
      <c r="Q101">
        <v>1.6899999999999998E-2</v>
      </c>
      <c r="R101">
        <v>1.6799999999999999E-2</v>
      </c>
      <c r="S101">
        <v>4.6132719999999999E-3</v>
      </c>
      <c r="T101" s="12">
        <v>11092</v>
      </c>
      <c r="U101">
        <v>0.55500000000000005</v>
      </c>
      <c r="V101" s="12">
        <v>32314</v>
      </c>
    </row>
    <row r="102" spans="1:22">
      <c r="A102" t="s">
        <v>37</v>
      </c>
      <c r="B102">
        <v>17</v>
      </c>
      <c r="C102">
        <v>10</v>
      </c>
      <c r="D102" t="s">
        <v>41</v>
      </c>
      <c r="E102">
        <v>0.14299999999999999</v>
      </c>
      <c r="F102">
        <v>0.111</v>
      </c>
      <c r="G102">
        <v>5.3E-3</v>
      </c>
      <c r="H102">
        <v>9.4000000000000004E-3</v>
      </c>
      <c r="I102">
        <v>0.80900000000000005</v>
      </c>
      <c r="J102">
        <v>0.52800000000000002</v>
      </c>
      <c r="K102">
        <v>0.47299999999999998</v>
      </c>
      <c r="L102">
        <v>0.65200000000000002</v>
      </c>
      <c r="M102">
        <v>3</v>
      </c>
      <c r="N102" s="12">
        <v>2709941</v>
      </c>
      <c r="O102" s="12">
        <v>4440471</v>
      </c>
      <c r="P102" s="12">
        <v>1467515</v>
      </c>
      <c r="Q102">
        <v>1.7600000000000001E-2</v>
      </c>
      <c r="R102">
        <v>1.47E-2</v>
      </c>
      <c r="S102">
        <v>4.0366129999999997E-3</v>
      </c>
      <c r="T102">
        <v>0.89319999999999999</v>
      </c>
      <c r="U102">
        <v>0.44700000000000001</v>
      </c>
      <c r="V102" s="12">
        <v>40186</v>
      </c>
    </row>
    <row r="103" spans="1:22">
      <c r="A103" t="s">
        <v>37</v>
      </c>
      <c r="B103">
        <v>18</v>
      </c>
      <c r="C103">
        <v>13</v>
      </c>
      <c r="D103" t="s">
        <v>41</v>
      </c>
      <c r="E103">
        <v>0.14699999999999999</v>
      </c>
      <c r="F103">
        <v>0.13600000000000001</v>
      </c>
      <c r="G103">
        <v>4.6249999999999998E-3</v>
      </c>
      <c r="H103">
        <v>1.12E-2</v>
      </c>
      <c r="I103">
        <v>0.80800000000000005</v>
      </c>
      <c r="J103">
        <v>0.57299999999999995</v>
      </c>
      <c r="K103">
        <v>0.42399999999999999</v>
      </c>
      <c r="L103">
        <v>0.71199999999999997</v>
      </c>
      <c r="M103">
        <v>3.2</v>
      </c>
      <c r="N103" s="12">
        <v>5728586</v>
      </c>
      <c r="O103" s="12">
        <v>304481</v>
      </c>
      <c r="P103" s="12">
        <v>1163698</v>
      </c>
      <c r="Q103">
        <v>1.5900000000000001E-2</v>
      </c>
      <c r="R103">
        <v>3.3585640000000001E-3</v>
      </c>
      <c r="S103">
        <v>0.96319999999999995</v>
      </c>
      <c r="T103">
        <v>0.48159999999999997</v>
      </c>
      <c r="U103" s="12">
        <v>42426</v>
      </c>
      <c r="V103" s="12">
        <v>8773396</v>
      </c>
    </row>
    <row r="104" spans="1:22">
      <c r="A104" t="s">
        <v>37</v>
      </c>
      <c r="B104">
        <v>18</v>
      </c>
      <c r="C104">
        <v>13</v>
      </c>
      <c r="D104" t="s">
        <v>41</v>
      </c>
      <c r="E104">
        <v>0.123</v>
      </c>
      <c r="F104">
        <v>0.14199999999999999</v>
      </c>
      <c r="G104">
        <v>4.8999999999999998E-3</v>
      </c>
      <c r="H104">
        <v>1.24E-2</v>
      </c>
      <c r="I104">
        <v>0.80400000000000005</v>
      </c>
      <c r="J104">
        <v>0.60299999999999998</v>
      </c>
      <c r="K104">
        <v>0.39400000000000002</v>
      </c>
      <c r="L104">
        <v>0.752</v>
      </c>
      <c r="M104">
        <v>3.3</v>
      </c>
      <c r="N104" s="12">
        <v>5407492</v>
      </c>
      <c r="O104" s="12">
        <v>2385583</v>
      </c>
      <c r="P104" s="12">
        <v>1065404</v>
      </c>
      <c r="Q104">
        <v>1.7299999999999999E-2</v>
      </c>
      <c r="R104">
        <v>3.6542860000000001E-3</v>
      </c>
      <c r="S104" s="12">
        <v>11034</v>
      </c>
      <c r="T104">
        <v>0.55200000000000005</v>
      </c>
      <c r="U104" s="12">
        <v>36382</v>
      </c>
      <c r="V104" s="12">
        <v>7793075</v>
      </c>
    </row>
    <row r="105" spans="1:22">
      <c r="A105" t="s">
        <v>37</v>
      </c>
      <c r="B105">
        <v>18</v>
      </c>
      <c r="C105">
        <v>13</v>
      </c>
      <c r="D105" t="s">
        <v>41</v>
      </c>
      <c r="E105">
        <v>0.17199999999999999</v>
      </c>
      <c r="F105">
        <v>0.16</v>
      </c>
      <c r="G105">
        <v>4.6249999999999998E-3</v>
      </c>
      <c r="H105">
        <v>1.17E-2</v>
      </c>
      <c r="I105">
        <v>0.81599999999999995</v>
      </c>
      <c r="J105">
        <v>0.58099999999999996</v>
      </c>
      <c r="K105">
        <v>0.41599999999999998</v>
      </c>
      <c r="L105">
        <v>0.71399999999999997</v>
      </c>
      <c r="M105">
        <v>3.2</v>
      </c>
      <c r="N105" s="12">
        <v>6452307</v>
      </c>
      <c r="O105" s="12">
        <v>185593</v>
      </c>
      <c r="P105" s="12">
        <v>1307086</v>
      </c>
      <c r="Q105">
        <v>1.8200000000000001E-2</v>
      </c>
      <c r="R105">
        <v>3.8443940000000001E-3</v>
      </c>
      <c r="S105" s="12">
        <v>101716</v>
      </c>
      <c r="T105">
        <v>0.50875999999999999</v>
      </c>
      <c r="U105" s="12">
        <v>47292</v>
      </c>
      <c r="V105" s="12">
        <v>8308237</v>
      </c>
    </row>
    <row r="106" spans="1:22">
      <c r="A106" t="s">
        <v>37</v>
      </c>
      <c r="B106">
        <v>18</v>
      </c>
      <c r="C106">
        <v>13</v>
      </c>
      <c r="D106" t="s">
        <v>41</v>
      </c>
      <c r="E106">
        <v>0.14000000000000001</v>
      </c>
      <c r="F106">
        <v>0.13300000000000001</v>
      </c>
      <c r="G106">
        <v>4.7999999999999996E-3</v>
      </c>
      <c r="H106">
        <v>1.12E-2</v>
      </c>
      <c r="I106">
        <v>0.80500000000000005</v>
      </c>
      <c r="J106">
        <v>0.57299999999999995</v>
      </c>
      <c r="K106">
        <v>0.42799999999999999</v>
      </c>
      <c r="L106">
        <v>0.71199999999999997</v>
      </c>
      <c r="M106">
        <v>3.2</v>
      </c>
      <c r="N106" s="12">
        <v>6512096</v>
      </c>
      <c r="O106" s="12">
        <v>1432106</v>
      </c>
      <c r="P106" s="12">
        <v>1472951</v>
      </c>
      <c r="Q106">
        <v>1.6E-2</v>
      </c>
      <c r="R106">
        <v>3.3796870000000001E-3</v>
      </c>
      <c r="S106">
        <v>0.89380000000000004</v>
      </c>
      <c r="T106">
        <v>0.44719999999999999</v>
      </c>
      <c r="U106" s="12">
        <v>43692</v>
      </c>
      <c r="V106" s="12">
        <v>7944202</v>
      </c>
    </row>
    <row r="107" spans="1:22">
      <c r="A107" t="s">
        <v>37</v>
      </c>
      <c r="B107">
        <v>18</v>
      </c>
      <c r="C107">
        <v>13</v>
      </c>
      <c r="D107" t="s">
        <v>41</v>
      </c>
      <c r="E107">
        <v>0.13100000000000001</v>
      </c>
      <c r="F107">
        <v>0.14399999999999999</v>
      </c>
      <c r="G107">
        <v>4.8999999999999998E-3</v>
      </c>
      <c r="H107">
        <v>1.24E-2</v>
      </c>
      <c r="I107">
        <v>0.81100000000000005</v>
      </c>
      <c r="J107">
        <v>0.55000000000000004</v>
      </c>
      <c r="K107">
        <v>0.45600000000000002</v>
      </c>
      <c r="L107">
        <v>0.67400000000000004</v>
      </c>
      <c r="M107">
        <v>3</v>
      </c>
      <c r="N107" s="12">
        <v>7339706</v>
      </c>
      <c r="O107" s="12">
        <v>2178941</v>
      </c>
      <c r="P107" s="12">
        <v>1363845</v>
      </c>
      <c r="Q107">
        <v>1.7299999999999999E-2</v>
      </c>
      <c r="R107">
        <v>3.6542860000000001E-3</v>
      </c>
      <c r="S107" s="12">
        <v>11144</v>
      </c>
      <c r="T107">
        <v>0.55740000000000001</v>
      </c>
      <c r="U107" s="12">
        <v>35988</v>
      </c>
      <c r="V107" s="12">
        <v>9518647</v>
      </c>
    </row>
    <row r="108" spans="1:22">
      <c r="A108" t="s">
        <v>37</v>
      </c>
      <c r="B108">
        <v>18</v>
      </c>
      <c r="C108">
        <v>13</v>
      </c>
      <c r="D108" t="s">
        <v>41</v>
      </c>
      <c r="E108">
        <v>0.128</v>
      </c>
      <c r="F108">
        <v>0.13300000000000001</v>
      </c>
      <c r="G108">
        <v>3.8999999999999998E-3</v>
      </c>
      <c r="H108">
        <v>1.17E-2</v>
      </c>
      <c r="I108">
        <v>0.80800000000000005</v>
      </c>
      <c r="J108">
        <v>0.54500000000000004</v>
      </c>
      <c r="K108">
        <v>0.45700000000000002</v>
      </c>
      <c r="L108">
        <v>0.67400000000000004</v>
      </c>
      <c r="M108">
        <v>3</v>
      </c>
      <c r="N108" s="12">
        <v>707158</v>
      </c>
      <c r="O108" s="12">
        <v>320249</v>
      </c>
      <c r="P108" s="12">
        <v>1332637</v>
      </c>
      <c r="Q108">
        <v>1.5599999999999999E-2</v>
      </c>
      <c r="R108">
        <v>3.2951949999999999E-3</v>
      </c>
      <c r="S108" s="12">
        <v>1011</v>
      </c>
      <c r="T108">
        <v>0.50560000000000005</v>
      </c>
      <c r="U108">
        <v>3.85</v>
      </c>
      <c r="V108" s="12">
        <v>1027407</v>
      </c>
    </row>
    <row r="109" spans="1:22">
      <c r="A109" t="s">
        <v>37</v>
      </c>
      <c r="B109">
        <v>19</v>
      </c>
      <c r="C109">
        <v>7</v>
      </c>
      <c r="D109" t="s">
        <v>42</v>
      </c>
      <c r="E109">
        <v>8.5000000000000006E-2</v>
      </c>
      <c r="F109">
        <v>0.114</v>
      </c>
      <c r="G109">
        <v>6.1499999999999999E-2</v>
      </c>
      <c r="H109">
        <v>5.8000000000000003E-2</v>
      </c>
      <c r="I109">
        <v>0.80200000000000005</v>
      </c>
      <c r="J109">
        <v>0.71199999999999997</v>
      </c>
      <c r="K109">
        <v>0.28699999999999998</v>
      </c>
      <c r="L109">
        <v>0.91600000000000004</v>
      </c>
      <c r="M109">
        <v>4</v>
      </c>
      <c r="N109" s="12">
        <v>32131</v>
      </c>
      <c r="O109" s="12">
        <v>304283</v>
      </c>
      <c r="P109">
        <v>0.34720000000000001</v>
      </c>
      <c r="Q109">
        <v>0.1195</v>
      </c>
      <c r="R109">
        <v>6.6772210999999998E-2</v>
      </c>
      <c r="S109">
        <v>0.78439999999999999</v>
      </c>
      <c r="T109">
        <v>0.3926</v>
      </c>
      <c r="U109" s="12">
        <v>20424</v>
      </c>
      <c r="V109" s="12">
        <v>625593</v>
      </c>
    </row>
    <row r="110" spans="1:22">
      <c r="A110" t="s">
        <v>37</v>
      </c>
      <c r="B110">
        <v>19</v>
      </c>
      <c r="C110">
        <v>7</v>
      </c>
      <c r="D110" t="s">
        <v>42</v>
      </c>
      <c r="E110">
        <v>8.5000000000000006E-2</v>
      </c>
      <c r="F110">
        <v>0.10100000000000001</v>
      </c>
      <c r="G110">
        <v>6.1100000000000002E-2</v>
      </c>
      <c r="H110">
        <v>5.8299999999999998E-2</v>
      </c>
      <c r="I110">
        <v>0.78400000000000003</v>
      </c>
      <c r="J110">
        <v>0.71899999999999997</v>
      </c>
      <c r="K110">
        <v>0.27800000000000002</v>
      </c>
      <c r="L110">
        <v>0.92</v>
      </c>
      <c r="M110">
        <v>4</v>
      </c>
      <c r="N110" s="12">
        <v>2956352</v>
      </c>
      <c r="O110" s="12">
        <v>3204954</v>
      </c>
      <c r="P110" s="12">
        <v>64474</v>
      </c>
      <c r="Q110">
        <v>0.11940000000000001</v>
      </c>
      <c r="R110">
        <v>6.6716335000000002E-2</v>
      </c>
      <c r="S110">
        <v>0.73419999999999996</v>
      </c>
      <c r="T110">
        <v>0.3674</v>
      </c>
      <c r="U110" s="12">
        <v>17474</v>
      </c>
      <c r="V110" s="12">
        <v>6161306</v>
      </c>
    </row>
    <row r="111" spans="1:22">
      <c r="A111" t="s">
        <v>37</v>
      </c>
      <c r="B111">
        <v>19</v>
      </c>
      <c r="C111">
        <v>7</v>
      </c>
      <c r="D111" t="s">
        <v>42</v>
      </c>
      <c r="E111">
        <v>7.0999999999999994E-2</v>
      </c>
      <c r="F111">
        <v>0.107</v>
      </c>
      <c r="G111">
        <v>6.2600000000000003E-2</v>
      </c>
      <c r="H111">
        <v>5.67E-2</v>
      </c>
      <c r="I111">
        <v>0.80500000000000005</v>
      </c>
      <c r="J111">
        <v>0.73599999999999999</v>
      </c>
      <c r="K111">
        <v>0.26100000000000001</v>
      </c>
      <c r="L111">
        <v>0.91700000000000004</v>
      </c>
      <c r="M111">
        <v>4.0999999999999996</v>
      </c>
      <c r="N111" s="12">
        <v>3352575</v>
      </c>
      <c r="O111" s="12">
        <v>2324528</v>
      </c>
      <c r="P111" s="12">
        <v>83708</v>
      </c>
      <c r="Q111">
        <v>0.1193</v>
      </c>
      <c r="R111">
        <v>6.6660458000000006E-2</v>
      </c>
      <c r="S111">
        <v>0.74239999999999995</v>
      </c>
      <c r="T111">
        <v>0.37119999999999997</v>
      </c>
      <c r="U111" s="12">
        <v>1674</v>
      </c>
      <c r="V111" s="12">
        <v>5677103</v>
      </c>
    </row>
    <row r="112" spans="1:22">
      <c r="A112" t="s">
        <v>37</v>
      </c>
      <c r="B112">
        <v>19</v>
      </c>
      <c r="C112">
        <v>7</v>
      </c>
      <c r="D112" t="s">
        <v>42</v>
      </c>
      <c r="E112">
        <v>7.6999999999999999E-2</v>
      </c>
      <c r="F112">
        <v>0.11</v>
      </c>
      <c r="G112">
        <v>6.2300000000000001E-2</v>
      </c>
      <c r="H112">
        <v>5.6899999999999999E-2</v>
      </c>
      <c r="I112">
        <v>0.79600000000000004</v>
      </c>
      <c r="J112">
        <v>0.74</v>
      </c>
      <c r="K112">
        <v>0.25</v>
      </c>
      <c r="L112">
        <v>0.91600000000000004</v>
      </c>
      <c r="M112">
        <v>4.0999999999999996</v>
      </c>
      <c r="N112">
        <v>342.24</v>
      </c>
      <c r="O112" s="12">
        <v>1281082</v>
      </c>
      <c r="P112" s="12">
        <v>562293</v>
      </c>
      <c r="Q112">
        <v>0.1192</v>
      </c>
      <c r="R112">
        <v>6.6604581999999996E-2</v>
      </c>
      <c r="S112">
        <v>0.77780000000000005</v>
      </c>
      <c r="T112">
        <v>0.38919999999999999</v>
      </c>
      <c r="U112" s="12">
        <v>1857</v>
      </c>
      <c r="V112" s="12">
        <v>4703482</v>
      </c>
    </row>
    <row r="113" spans="1:22">
      <c r="A113" t="s">
        <v>37</v>
      </c>
      <c r="B113">
        <v>19</v>
      </c>
      <c r="C113">
        <v>7</v>
      </c>
      <c r="D113" t="s">
        <v>42</v>
      </c>
      <c r="E113">
        <v>7.0999999999999994E-2</v>
      </c>
      <c r="F113">
        <v>0.10299999999999999</v>
      </c>
      <c r="G113">
        <v>6.3200000000000006E-2</v>
      </c>
      <c r="H113">
        <v>5.7340000000000002E-2</v>
      </c>
      <c r="I113">
        <v>0.80700000000000005</v>
      </c>
      <c r="J113">
        <v>0.72899999999999998</v>
      </c>
      <c r="K113">
        <v>0.26100000000000001</v>
      </c>
      <c r="L113">
        <v>0.91100000000000003</v>
      </c>
      <c r="M113">
        <v>4</v>
      </c>
      <c r="N113" s="12">
        <v>399257</v>
      </c>
      <c r="O113" s="12">
        <v>118681</v>
      </c>
      <c r="P113" s="12">
        <v>750861</v>
      </c>
      <c r="Q113">
        <v>0.11938</v>
      </c>
      <c r="R113">
        <v>6.6705159400000005E-2</v>
      </c>
      <c r="S113">
        <v>0.66100000000000003</v>
      </c>
      <c r="T113">
        <v>0.33079999999999998</v>
      </c>
      <c r="U113" s="12">
        <v>17132</v>
      </c>
      <c r="V113" s="12">
        <v>517938</v>
      </c>
    </row>
    <row r="114" spans="1:22">
      <c r="A114" t="s">
        <v>37</v>
      </c>
      <c r="B114">
        <v>19</v>
      </c>
      <c r="C114">
        <v>7</v>
      </c>
      <c r="D114" t="s">
        <v>42</v>
      </c>
      <c r="E114">
        <v>8.3000000000000004E-2</v>
      </c>
      <c r="F114">
        <v>9.6000000000000002E-2</v>
      </c>
      <c r="G114">
        <v>6.2700000000000006E-2</v>
      </c>
      <c r="H114">
        <v>5.6800000000000003E-2</v>
      </c>
      <c r="I114">
        <v>0.80200000000000005</v>
      </c>
      <c r="J114">
        <v>0.72799999999999998</v>
      </c>
      <c r="K114">
        <v>0.26</v>
      </c>
      <c r="L114">
        <v>0.91600000000000004</v>
      </c>
      <c r="M114">
        <v>4.0999999999999996</v>
      </c>
      <c r="N114" s="12">
        <v>3959538</v>
      </c>
      <c r="O114" s="12">
        <v>1068865</v>
      </c>
      <c r="P114" s="12">
        <v>726383</v>
      </c>
      <c r="Q114">
        <v>0.1195</v>
      </c>
      <c r="R114">
        <v>6.6772210999999998E-2</v>
      </c>
      <c r="S114">
        <v>0.68179999999999996</v>
      </c>
      <c r="T114">
        <v>0.3412</v>
      </c>
      <c r="U114" s="12">
        <v>16808</v>
      </c>
      <c r="V114" s="12">
        <v>5028403</v>
      </c>
    </row>
    <row r="115" spans="1:22">
      <c r="A115" t="s">
        <v>37</v>
      </c>
      <c r="B115">
        <v>20</v>
      </c>
      <c r="C115">
        <v>10</v>
      </c>
      <c r="D115" t="s">
        <v>42</v>
      </c>
      <c r="E115">
        <v>0.113</v>
      </c>
      <c r="F115">
        <v>0.14799999999999999</v>
      </c>
      <c r="G115">
        <v>5.0000000000000001E-3</v>
      </c>
      <c r="H115">
        <v>1.1900000000000001E-2</v>
      </c>
      <c r="I115">
        <v>0.80500000000000005</v>
      </c>
      <c r="J115">
        <v>0.52200000000000002</v>
      </c>
      <c r="K115">
        <v>0.48499999999999999</v>
      </c>
      <c r="L115">
        <v>0.64400000000000002</v>
      </c>
      <c r="M115">
        <v>2.9</v>
      </c>
      <c r="N115" s="12">
        <v>2757801</v>
      </c>
      <c r="O115" s="12">
        <v>1793772</v>
      </c>
      <c r="P115" s="12">
        <v>1516766</v>
      </c>
      <c r="Q115">
        <v>1.6899999999999998E-2</v>
      </c>
      <c r="R115">
        <v>6.6101689999999999E-3</v>
      </c>
      <c r="S115" s="12">
        <v>13152</v>
      </c>
      <c r="T115">
        <v>0.65780000000000005</v>
      </c>
      <c r="U115" s="12">
        <v>3421</v>
      </c>
      <c r="V115" s="12">
        <v>4551573</v>
      </c>
    </row>
    <row r="116" spans="1:22">
      <c r="A116" t="s">
        <v>37</v>
      </c>
      <c r="B116">
        <v>20</v>
      </c>
      <c r="C116">
        <v>10</v>
      </c>
      <c r="D116" t="s">
        <v>42</v>
      </c>
      <c r="E116">
        <v>0.121</v>
      </c>
      <c r="F116">
        <v>0.13100000000000001</v>
      </c>
      <c r="G116">
        <v>4.7999999999999996E-3</v>
      </c>
      <c r="H116">
        <v>1.0999999999999999E-2</v>
      </c>
      <c r="I116">
        <v>0.80600000000000005</v>
      </c>
      <c r="J116">
        <v>0.52300000000000002</v>
      </c>
      <c r="K116">
        <v>0.48199999999999998</v>
      </c>
      <c r="L116">
        <v>0.65200000000000002</v>
      </c>
      <c r="M116">
        <v>2.9</v>
      </c>
      <c r="N116" s="12">
        <v>3465038</v>
      </c>
      <c r="O116" s="12">
        <v>20134005</v>
      </c>
      <c r="P116" s="12">
        <v>204463</v>
      </c>
      <c r="Q116">
        <v>1.5800000000000002E-2</v>
      </c>
      <c r="R116">
        <v>6.179922E-3</v>
      </c>
      <c r="S116" s="12">
        <v>11996</v>
      </c>
      <c r="T116">
        <v>0.60019999999999996</v>
      </c>
      <c r="U116" s="12">
        <v>35878</v>
      </c>
      <c r="V116" s="12">
        <v>5458788</v>
      </c>
    </row>
    <row r="117" spans="1:22">
      <c r="A117" t="s">
        <v>37</v>
      </c>
      <c r="B117">
        <v>20</v>
      </c>
      <c r="C117">
        <v>10</v>
      </c>
      <c r="D117" t="s">
        <v>42</v>
      </c>
      <c r="E117">
        <v>0.122</v>
      </c>
      <c r="F117">
        <v>0.152</v>
      </c>
      <c r="G117">
        <v>4.7999999999999996E-3</v>
      </c>
      <c r="H117">
        <v>1.29E-2</v>
      </c>
      <c r="I117">
        <v>0.80900000000000005</v>
      </c>
      <c r="J117">
        <v>0.57999999999999996</v>
      </c>
      <c r="K117">
        <v>0.42399999999999999</v>
      </c>
      <c r="L117">
        <v>0.71499999999999997</v>
      </c>
      <c r="M117">
        <v>3.3</v>
      </c>
      <c r="N117" s="12">
        <v>3205433</v>
      </c>
      <c r="O117" s="12">
        <v>2066342</v>
      </c>
      <c r="P117" s="12">
        <v>1726511</v>
      </c>
      <c r="Q117">
        <v>1.77E-2</v>
      </c>
      <c r="R117">
        <v>6.9230769999999997E-3</v>
      </c>
      <c r="S117" s="12">
        <v>13228</v>
      </c>
      <c r="T117">
        <v>0.66159999999999997</v>
      </c>
      <c r="U117" s="12">
        <v>33196</v>
      </c>
      <c r="V117" s="12">
        <v>5271775</v>
      </c>
    </row>
    <row r="118" spans="1:22">
      <c r="A118" t="s">
        <v>37</v>
      </c>
      <c r="B118">
        <v>20</v>
      </c>
      <c r="C118">
        <v>10</v>
      </c>
      <c r="D118" t="s">
        <v>42</v>
      </c>
      <c r="E118">
        <v>0.127</v>
      </c>
      <c r="F118">
        <v>0.15</v>
      </c>
      <c r="G118">
        <v>5.7999999999999996E-3</v>
      </c>
      <c r="H118">
        <v>1.14E-2</v>
      </c>
      <c r="I118">
        <v>0.80600000000000005</v>
      </c>
      <c r="J118">
        <v>0.60099999999999998</v>
      </c>
      <c r="K118">
        <v>0.39800000000000002</v>
      </c>
      <c r="L118">
        <v>0.746</v>
      </c>
      <c r="M118">
        <v>3.4</v>
      </c>
      <c r="N118" s="12">
        <v>2581068</v>
      </c>
      <c r="O118" s="12">
        <v>20134005</v>
      </c>
      <c r="P118" s="12">
        <v>1264242</v>
      </c>
      <c r="Q118">
        <v>1.72E-2</v>
      </c>
      <c r="R118">
        <v>6.7275099999999999E-3</v>
      </c>
      <c r="S118" s="12">
        <v>11614</v>
      </c>
      <c r="T118">
        <v>0.58099999999999996</v>
      </c>
      <c r="U118" s="12">
        <v>33254</v>
      </c>
      <c r="V118" s="12">
        <v>6002848</v>
      </c>
    </row>
    <row r="119" spans="1:22">
      <c r="A119" t="s">
        <v>37</v>
      </c>
      <c r="B119">
        <v>20</v>
      </c>
      <c r="C119">
        <v>10</v>
      </c>
      <c r="D119" t="s">
        <v>42</v>
      </c>
      <c r="E119">
        <v>0.10100000000000001</v>
      </c>
      <c r="F119">
        <v>0.111</v>
      </c>
      <c r="G119">
        <v>4.7000000000000002E-3</v>
      </c>
      <c r="H119">
        <v>1.01E-2</v>
      </c>
      <c r="I119">
        <v>0.80400000000000005</v>
      </c>
      <c r="J119">
        <v>0.60799999999999998</v>
      </c>
      <c r="K119">
        <v>0.39300000000000002</v>
      </c>
      <c r="L119">
        <v>0.75600000000000001</v>
      </c>
      <c r="M119">
        <v>3.4</v>
      </c>
      <c r="N119" s="12">
        <v>3278127</v>
      </c>
      <c r="O119" s="12">
        <v>2200664</v>
      </c>
      <c r="P119" s="12">
        <v>1985309</v>
      </c>
      <c r="Q119">
        <v>1.4800000000000001E-2</v>
      </c>
      <c r="R119">
        <v>5.7887870000000001E-3</v>
      </c>
      <c r="S119">
        <v>0.7964</v>
      </c>
      <c r="T119">
        <v>0.39860000000000001</v>
      </c>
      <c r="U119" s="12">
        <v>3089</v>
      </c>
      <c r="V119" s="12">
        <v>5478791</v>
      </c>
    </row>
    <row r="120" spans="1:22">
      <c r="A120" t="s">
        <v>37</v>
      </c>
      <c r="B120">
        <v>20</v>
      </c>
      <c r="C120">
        <v>10</v>
      </c>
      <c r="D120" t="s">
        <v>42</v>
      </c>
      <c r="E120">
        <v>0.108</v>
      </c>
      <c r="F120">
        <v>0.13900000000000001</v>
      </c>
      <c r="G120">
        <v>5.7999999999999996E-3</v>
      </c>
      <c r="H120">
        <v>1.1900000000000001E-2</v>
      </c>
      <c r="I120">
        <v>0.80600000000000005</v>
      </c>
      <c r="J120">
        <v>0.63500000000000001</v>
      </c>
      <c r="K120">
        <v>0.36499999999999999</v>
      </c>
      <c r="L120">
        <v>0.78800000000000003</v>
      </c>
      <c r="M120">
        <v>3.5</v>
      </c>
      <c r="N120" s="12">
        <v>4082287</v>
      </c>
      <c r="O120" s="12">
        <v>1992824</v>
      </c>
      <c r="P120" s="12">
        <v>189631</v>
      </c>
      <c r="Q120">
        <v>1.77E-2</v>
      </c>
      <c r="R120">
        <v>6.9230769999999997E-3</v>
      </c>
      <c r="S120">
        <v>0.91159999999999997</v>
      </c>
      <c r="T120">
        <v>0.45600000000000002</v>
      </c>
      <c r="U120" s="12">
        <v>2757</v>
      </c>
      <c r="V120" s="12">
        <v>6075111</v>
      </c>
    </row>
    <row r="121" spans="1:22">
      <c r="A121" t="s">
        <v>37</v>
      </c>
      <c r="B121">
        <v>21</v>
      </c>
      <c r="C121">
        <v>13</v>
      </c>
      <c r="D121" t="s">
        <v>42</v>
      </c>
      <c r="E121">
        <v>0.16200000000000001</v>
      </c>
      <c r="F121">
        <v>0.17</v>
      </c>
      <c r="G121">
        <v>7.9000000000000008E-3</v>
      </c>
      <c r="H121">
        <v>1.52E-2</v>
      </c>
      <c r="I121">
        <v>0.79800000000000004</v>
      </c>
      <c r="J121">
        <v>0.63200000000000001</v>
      </c>
      <c r="K121">
        <v>0.36799999999999999</v>
      </c>
      <c r="L121">
        <v>0.79200000000000004</v>
      </c>
      <c r="M121">
        <v>3.5</v>
      </c>
      <c r="N121" s="12">
        <v>5969105</v>
      </c>
      <c r="O121" s="12">
        <v>1761342</v>
      </c>
      <c r="P121" s="12">
        <v>1026959</v>
      </c>
      <c r="Q121">
        <v>2.3099999999999999E-2</v>
      </c>
      <c r="R121">
        <v>6.9501550000000004E-3</v>
      </c>
      <c r="S121" s="12">
        <v>1241</v>
      </c>
      <c r="T121">
        <v>0.62080000000000002</v>
      </c>
      <c r="U121" s="12">
        <v>40412</v>
      </c>
      <c r="V121" s="12">
        <v>7730447</v>
      </c>
    </row>
    <row r="122" spans="1:22">
      <c r="A122" t="s">
        <v>37</v>
      </c>
      <c r="B122">
        <v>21</v>
      </c>
      <c r="C122">
        <v>13</v>
      </c>
      <c r="D122" t="s">
        <v>42</v>
      </c>
      <c r="E122">
        <v>0.14699999999999999</v>
      </c>
      <c r="F122">
        <v>0.158</v>
      </c>
      <c r="G122">
        <v>6.8999999999999999E-3</v>
      </c>
      <c r="H122">
        <v>1.43E-2</v>
      </c>
      <c r="I122">
        <v>0.80400000000000005</v>
      </c>
      <c r="J122">
        <v>0.56999999999999995</v>
      </c>
      <c r="K122">
        <v>0.435</v>
      </c>
      <c r="L122">
        <v>0.70599999999999996</v>
      </c>
      <c r="M122">
        <v>3.2</v>
      </c>
      <c r="N122" s="12">
        <v>6433144</v>
      </c>
      <c r="O122" s="12">
        <v>2352904</v>
      </c>
      <c r="P122" s="12">
        <v>1066431</v>
      </c>
      <c r="Q122">
        <v>2.12E-2</v>
      </c>
      <c r="R122">
        <v>6.3784979999999998E-3</v>
      </c>
      <c r="S122" s="12">
        <v>1346</v>
      </c>
      <c r="T122">
        <v>0.6734</v>
      </c>
      <c r="U122" s="12">
        <v>39632</v>
      </c>
      <c r="V122" s="12">
        <v>8786048</v>
      </c>
    </row>
    <row r="123" spans="1:22">
      <c r="A123" t="s">
        <v>37</v>
      </c>
      <c r="B123">
        <v>21</v>
      </c>
      <c r="C123">
        <v>13</v>
      </c>
      <c r="D123" t="s">
        <v>42</v>
      </c>
      <c r="E123">
        <v>0.14299999999999999</v>
      </c>
      <c r="F123">
        <v>0.157</v>
      </c>
      <c r="G123">
        <v>4.7000000000000002E-3</v>
      </c>
      <c r="H123">
        <v>1.2200000000000001E-2</v>
      </c>
      <c r="I123">
        <v>0.80100000000000005</v>
      </c>
      <c r="J123">
        <v>0.628</v>
      </c>
      <c r="K123">
        <v>0.373</v>
      </c>
      <c r="L123">
        <v>0.78400000000000003</v>
      </c>
      <c r="M123">
        <v>3.4</v>
      </c>
      <c r="N123" s="12">
        <v>6593891</v>
      </c>
      <c r="O123" s="12">
        <v>19986262</v>
      </c>
      <c r="P123" s="12">
        <v>1135648</v>
      </c>
      <c r="Q123">
        <v>1.6899999999999998E-2</v>
      </c>
      <c r="R123">
        <v>5.0847460000000002E-3</v>
      </c>
      <c r="S123" s="12">
        <v>1417</v>
      </c>
      <c r="T123">
        <v>0.70879999999999999</v>
      </c>
      <c r="U123" s="12">
        <v>40688</v>
      </c>
      <c r="V123" s="12">
        <v>7794409</v>
      </c>
    </row>
    <row r="124" spans="1:22">
      <c r="A124" t="s">
        <v>37</v>
      </c>
      <c r="B124">
        <v>21</v>
      </c>
      <c r="C124">
        <v>13</v>
      </c>
      <c r="D124" t="s">
        <v>42</v>
      </c>
      <c r="E124">
        <v>0.124</v>
      </c>
      <c r="F124">
        <v>0.14499999999999999</v>
      </c>
      <c r="G124">
        <v>5.5999999999999999E-3</v>
      </c>
      <c r="H124">
        <v>1.2699999999999999E-2</v>
      </c>
      <c r="I124">
        <v>0.8</v>
      </c>
      <c r="J124">
        <v>0.58599999999999997</v>
      </c>
      <c r="K124">
        <v>0.41599999999999998</v>
      </c>
      <c r="L124">
        <v>0.73099999999999998</v>
      </c>
      <c r="M124">
        <v>3.3</v>
      </c>
      <c r="N124" s="12">
        <v>5089088</v>
      </c>
      <c r="O124" s="12">
        <v>2101801</v>
      </c>
      <c r="P124" s="12">
        <v>110422275</v>
      </c>
      <c r="Q124">
        <v>1.83E-2</v>
      </c>
      <c r="R124">
        <v>5.5059669999999996E-3</v>
      </c>
      <c r="S124">
        <v>0.78580000000000005</v>
      </c>
      <c r="T124">
        <v>0.39319999999999999</v>
      </c>
      <c r="U124" s="12">
        <v>3329</v>
      </c>
      <c r="V124" s="12">
        <v>7190889</v>
      </c>
    </row>
    <row r="125" spans="1:22">
      <c r="A125" t="s">
        <v>37</v>
      </c>
      <c r="B125">
        <v>21</v>
      </c>
      <c r="C125">
        <v>13</v>
      </c>
      <c r="D125" t="s">
        <v>42</v>
      </c>
      <c r="E125">
        <v>0.11799999999999999</v>
      </c>
      <c r="F125">
        <v>0.156</v>
      </c>
      <c r="G125">
        <v>7.0000000000000001E-3</v>
      </c>
      <c r="H125">
        <v>8.9999999999999993E-3</v>
      </c>
      <c r="I125">
        <v>0.80200000000000005</v>
      </c>
      <c r="J125">
        <v>0.55000000000000004</v>
      </c>
      <c r="K125">
        <v>0.45200000000000001</v>
      </c>
      <c r="L125">
        <v>0.68400000000000005</v>
      </c>
      <c r="M125">
        <v>3</v>
      </c>
      <c r="N125" s="12">
        <v>6536288</v>
      </c>
      <c r="O125" s="12">
        <v>1765068</v>
      </c>
      <c r="P125" s="12">
        <v>1187853</v>
      </c>
      <c r="Q125">
        <v>1.6E-2</v>
      </c>
      <c r="R125">
        <v>4.8139599999999999E-3</v>
      </c>
      <c r="S125">
        <v>0.79859999999999998</v>
      </c>
      <c r="T125">
        <v>0.39939999999999998</v>
      </c>
      <c r="U125" s="12">
        <v>33028</v>
      </c>
      <c r="V125" s="12">
        <v>8301356</v>
      </c>
    </row>
    <row r="126" spans="1:22">
      <c r="A126" t="s">
        <v>37</v>
      </c>
      <c r="B126">
        <v>21</v>
      </c>
      <c r="C126">
        <v>13</v>
      </c>
      <c r="D126" t="s">
        <v>42</v>
      </c>
      <c r="E126">
        <v>0.128</v>
      </c>
      <c r="F126">
        <v>0.15</v>
      </c>
      <c r="G126">
        <v>5.7999999999999996E-3</v>
      </c>
      <c r="H126">
        <v>1.4500000000000001E-2</v>
      </c>
      <c r="I126">
        <v>0.79800000000000004</v>
      </c>
      <c r="J126">
        <v>0.56499999999999995</v>
      </c>
      <c r="K126">
        <v>0.436</v>
      </c>
      <c r="L126">
        <v>0.70799999999999996</v>
      </c>
      <c r="M126">
        <v>3.2</v>
      </c>
      <c r="N126" s="12">
        <v>5307065</v>
      </c>
      <c r="O126" s="12">
        <v>2012016</v>
      </c>
      <c r="P126" s="12">
        <v>110422275</v>
      </c>
      <c r="Q126">
        <v>2.0299999999999999E-2</v>
      </c>
      <c r="R126">
        <v>6.1077120000000004E-3</v>
      </c>
      <c r="S126" s="12">
        <v>10058</v>
      </c>
      <c r="T126">
        <v>0.50319999999999998</v>
      </c>
      <c r="U126" s="12">
        <v>35524</v>
      </c>
      <c r="V126" s="12">
        <v>7319081</v>
      </c>
    </row>
    <row r="127" spans="1:22">
      <c r="A127" t="s">
        <v>37</v>
      </c>
      <c r="B127">
        <v>22</v>
      </c>
      <c r="C127">
        <v>7</v>
      </c>
      <c r="D127" t="s">
        <v>43</v>
      </c>
      <c r="E127">
        <v>0.112</v>
      </c>
      <c r="F127">
        <v>0.09</v>
      </c>
      <c r="G127">
        <v>6.0400000000000002E-2</v>
      </c>
      <c r="H127">
        <v>5.8200000000000002E-2</v>
      </c>
      <c r="I127">
        <v>0.79100000000000004</v>
      </c>
      <c r="J127">
        <v>0.60099999999999998</v>
      </c>
      <c r="K127">
        <v>0.39100000000000001</v>
      </c>
      <c r="L127">
        <v>0.76500000000000001</v>
      </c>
      <c r="M127">
        <v>3.2</v>
      </c>
      <c r="N127" s="12">
        <v>3030142</v>
      </c>
      <c r="O127" s="12">
        <v>1170481</v>
      </c>
      <c r="P127" s="12">
        <v>1359684</v>
      </c>
      <c r="Q127">
        <v>0.1186</v>
      </c>
      <c r="R127">
        <v>8.4950259E-2</v>
      </c>
      <c r="S127">
        <v>0.71279999999999999</v>
      </c>
      <c r="T127">
        <v>0.35680000000000001</v>
      </c>
      <c r="U127" s="12">
        <v>30672</v>
      </c>
      <c r="V127" s="12">
        <v>4200623</v>
      </c>
    </row>
    <row r="128" spans="1:22">
      <c r="A128" t="s">
        <v>37</v>
      </c>
      <c r="B128">
        <v>22</v>
      </c>
      <c r="C128">
        <v>7</v>
      </c>
      <c r="D128" t="s">
        <v>43</v>
      </c>
      <c r="E128">
        <v>9.5000000000000001E-2</v>
      </c>
      <c r="F128">
        <v>8.6999999999999994E-2</v>
      </c>
      <c r="G128">
        <v>6.25E-2</v>
      </c>
      <c r="H128">
        <v>5.8000000000000003E-2</v>
      </c>
      <c r="I128">
        <v>0.75700000000000001</v>
      </c>
      <c r="J128">
        <v>0.63200000000000001</v>
      </c>
      <c r="K128">
        <v>0.35699999999999998</v>
      </c>
      <c r="L128">
        <v>0.84499999999999997</v>
      </c>
      <c r="M128">
        <v>3.3</v>
      </c>
      <c r="N128" s="12">
        <v>3296454</v>
      </c>
      <c r="O128" s="12">
        <v>970157</v>
      </c>
      <c r="P128" s="12">
        <v>1262078</v>
      </c>
      <c r="Q128">
        <v>0.1205</v>
      </c>
      <c r="R128">
        <v>8.6311182E-2</v>
      </c>
      <c r="S128">
        <v>0.65639999999999998</v>
      </c>
      <c r="T128">
        <v>0.32840000000000003</v>
      </c>
      <c r="U128" s="12">
        <v>2863</v>
      </c>
      <c r="V128" s="12">
        <v>4266611</v>
      </c>
    </row>
    <row r="129" spans="1:22">
      <c r="A129" t="s">
        <v>37</v>
      </c>
      <c r="B129">
        <v>22</v>
      </c>
      <c r="C129">
        <v>7</v>
      </c>
      <c r="D129" t="s">
        <v>43</v>
      </c>
      <c r="E129">
        <v>0.10199999999999999</v>
      </c>
      <c r="F129">
        <v>9.0999999999999998E-2</v>
      </c>
      <c r="G129">
        <v>6.2899999999999998E-2</v>
      </c>
      <c r="H129">
        <v>5.74E-2</v>
      </c>
      <c r="I129">
        <v>0.76500000000000001</v>
      </c>
      <c r="J129">
        <v>0.60499999999999998</v>
      </c>
      <c r="K129">
        <v>0.38500000000000001</v>
      </c>
      <c r="L129">
        <v>0.8</v>
      </c>
      <c r="M129">
        <v>3.1</v>
      </c>
      <c r="N129" s="12">
        <v>3218047</v>
      </c>
      <c r="O129" s="12">
        <v>1474972</v>
      </c>
      <c r="P129" s="12">
        <v>144943</v>
      </c>
      <c r="Q129">
        <v>0.1203</v>
      </c>
      <c r="R129">
        <v>8.6167927000000005E-2</v>
      </c>
      <c r="S129">
        <v>0.62139999999999995</v>
      </c>
      <c r="T129">
        <v>0.311</v>
      </c>
      <c r="U129" s="12">
        <v>31524</v>
      </c>
      <c r="V129" s="12">
        <v>4693019</v>
      </c>
    </row>
    <row r="130" spans="1:22">
      <c r="A130" t="s">
        <v>37</v>
      </c>
      <c r="B130">
        <v>22</v>
      </c>
      <c r="C130">
        <v>7</v>
      </c>
      <c r="D130" t="s">
        <v>43</v>
      </c>
      <c r="E130">
        <v>0.112</v>
      </c>
      <c r="F130">
        <v>9.8000000000000004E-2</v>
      </c>
      <c r="G130">
        <v>6.13E-2</v>
      </c>
      <c r="H130">
        <v>5.8000000000000003E-2</v>
      </c>
      <c r="I130">
        <v>0.79</v>
      </c>
      <c r="J130">
        <v>0.74099999999999999</v>
      </c>
      <c r="K130">
        <v>0.254</v>
      </c>
      <c r="L130">
        <v>0.94299999999999995</v>
      </c>
      <c r="M130">
        <v>4.2</v>
      </c>
      <c r="N130" s="12">
        <v>31361175</v>
      </c>
      <c r="O130" s="12">
        <v>642457</v>
      </c>
      <c r="P130" s="12">
        <v>1038417</v>
      </c>
      <c r="Q130">
        <v>0.1193</v>
      </c>
      <c r="R130">
        <v>8.5451651000000003E-2</v>
      </c>
      <c r="S130">
        <v>0.72499999999999998</v>
      </c>
      <c r="T130">
        <v>0.36280000000000001</v>
      </c>
      <c r="U130" s="12">
        <v>29828</v>
      </c>
      <c r="V130" s="12">
        <v>4956543</v>
      </c>
    </row>
    <row r="131" spans="1:22">
      <c r="A131" t="s">
        <v>37</v>
      </c>
      <c r="B131">
        <v>22</v>
      </c>
      <c r="C131">
        <v>7</v>
      </c>
      <c r="D131" t="s">
        <v>43</v>
      </c>
      <c r="E131">
        <v>0.112</v>
      </c>
      <c r="F131">
        <v>8.2000000000000003E-2</v>
      </c>
      <c r="G131">
        <v>6.0999999999999999E-2</v>
      </c>
      <c r="H131">
        <v>0.06</v>
      </c>
      <c r="I131">
        <v>0.78900000000000003</v>
      </c>
      <c r="J131">
        <v>0.73799999999999999</v>
      </c>
      <c r="K131">
        <v>0.25700000000000001</v>
      </c>
      <c r="L131">
        <v>0.94</v>
      </c>
      <c r="M131">
        <v>4.0999999999999996</v>
      </c>
      <c r="N131" s="12">
        <v>31361175</v>
      </c>
      <c r="O131" s="12">
        <v>1138019</v>
      </c>
      <c r="P131" s="12">
        <v>1498407</v>
      </c>
      <c r="Q131">
        <v>0.121</v>
      </c>
      <c r="R131">
        <v>8.6669319999999994E-2</v>
      </c>
      <c r="S131">
        <v>0.56399999999999995</v>
      </c>
      <c r="T131">
        <v>0.28199999999999997</v>
      </c>
      <c r="U131" s="12">
        <v>26958</v>
      </c>
      <c r="V131" s="12">
        <v>3755462</v>
      </c>
    </row>
    <row r="132" spans="1:22">
      <c r="A132" t="s">
        <v>37</v>
      </c>
      <c r="B132">
        <v>22</v>
      </c>
      <c r="C132">
        <v>7</v>
      </c>
      <c r="D132" t="s">
        <v>43</v>
      </c>
      <c r="E132">
        <v>0.112</v>
      </c>
      <c r="F132">
        <v>8.2000000000000003E-2</v>
      </c>
      <c r="G132">
        <v>6.1400000000000003E-2</v>
      </c>
      <c r="H132">
        <v>5.8999999999999997E-2</v>
      </c>
      <c r="I132">
        <v>0.79100000000000004</v>
      </c>
      <c r="J132">
        <v>0.73</v>
      </c>
      <c r="K132">
        <v>0.26500000000000001</v>
      </c>
      <c r="L132">
        <v>0.92800000000000005</v>
      </c>
      <c r="M132">
        <v>4.0999999999999996</v>
      </c>
      <c r="N132" s="12">
        <v>2999827</v>
      </c>
      <c r="O132" s="12">
        <v>1539991</v>
      </c>
      <c r="P132" s="12">
        <v>1310281</v>
      </c>
      <c r="Q132">
        <v>0.12039999999999999</v>
      </c>
      <c r="R132">
        <v>8.6239553999999996E-2</v>
      </c>
      <c r="S132">
        <v>0.62219999999999998</v>
      </c>
      <c r="T132">
        <v>0.31119999999999998</v>
      </c>
      <c r="U132" s="12">
        <v>29344</v>
      </c>
      <c r="V132" s="12">
        <v>4539818</v>
      </c>
    </row>
    <row r="133" spans="1:22">
      <c r="A133" t="s">
        <v>37</v>
      </c>
      <c r="B133">
        <v>23</v>
      </c>
      <c r="C133">
        <v>10</v>
      </c>
      <c r="D133" t="s">
        <v>43</v>
      </c>
      <c r="E133">
        <v>0.14499999999999999</v>
      </c>
      <c r="F133">
        <v>0.129</v>
      </c>
      <c r="G133">
        <v>6.0000000000000001E-3</v>
      </c>
      <c r="H133">
        <v>1.14E-2</v>
      </c>
      <c r="I133">
        <v>0.77400000000000002</v>
      </c>
      <c r="J133">
        <v>0.55200000000000005</v>
      </c>
      <c r="K133">
        <v>0.45300000000000001</v>
      </c>
      <c r="L133">
        <v>0.71099999999999997</v>
      </c>
      <c r="M133">
        <v>3.1</v>
      </c>
      <c r="N133" s="12">
        <v>512466</v>
      </c>
      <c r="O133" s="12">
        <v>22710055</v>
      </c>
      <c r="P133" s="12">
        <v>2557351</v>
      </c>
      <c r="Q133">
        <v>1.7399999999999999E-2</v>
      </c>
      <c r="R133">
        <v>8.7242340000000008E-3</v>
      </c>
      <c r="S133" s="12">
        <v>10726</v>
      </c>
      <c r="T133">
        <v>0.53639999999999999</v>
      </c>
      <c r="U133" s="12">
        <v>45376</v>
      </c>
      <c r="V133" s="12">
        <v>9400613</v>
      </c>
    </row>
    <row r="134" spans="1:22">
      <c r="A134" t="s">
        <v>37</v>
      </c>
      <c r="B134">
        <v>23</v>
      </c>
      <c r="C134">
        <v>10</v>
      </c>
      <c r="D134" t="s">
        <v>43</v>
      </c>
      <c r="E134">
        <v>0.14799999999999999</v>
      </c>
      <c r="F134">
        <v>0.12825</v>
      </c>
      <c r="G134">
        <v>5.5999999999999999E-3</v>
      </c>
      <c r="H134">
        <v>1.06E-2</v>
      </c>
      <c r="I134">
        <v>0.75800000000000001</v>
      </c>
      <c r="J134">
        <v>0.58099999999999996</v>
      </c>
      <c r="K134">
        <v>0.42399999999999999</v>
      </c>
      <c r="L134">
        <v>0.76200000000000001</v>
      </c>
      <c r="M134">
        <v>3.3</v>
      </c>
      <c r="N134" s="12">
        <v>577806</v>
      </c>
      <c r="O134" s="12">
        <v>22710055</v>
      </c>
      <c r="P134" s="12">
        <v>2181136</v>
      </c>
      <c r="Q134">
        <v>1.6199999999999999E-2</v>
      </c>
      <c r="R134">
        <v>8.1225629999999993E-3</v>
      </c>
      <c r="S134">
        <v>0.877</v>
      </c>
      <c r="T134">
        <v>0.43880000000000002</v>
      </c>
      <c r="U134" s="12">
        <v>42572</v>
      </c>
      <c r="V134" s="12">
        <v>1411308</v>
      </c>
    </row>
    <row r="135" spans="1:22">
      <c r="A135" t="s">
        <v>37</v>
      </c>
      <c r="B135">
        <v>23</v>
      </c>
      <c r="C135">
        <v>10</v>
      </c>
      <c r="D135" t="s">
        <v>43</v>
      </c>
      <c r="E135">
        <v>0.14000000000000001</v>
      </c>
      <c r="F135">
        <v>0.129</v>
      </c>
      <c r="G135">
        <v>5.0000000000000001E-3</v>
      </c>
      <c r="H135">
        <v>1.11E-2</v>
      </c>
      <c r="I135">
        <v>0.78300000000000003</v>
      </c>
      <c r="J135">
        <v>0.52500000000000002</v>
      </c>
      <c r="K135">
        <v>0.48099999999999998</v>
      </c>
      <c r="L135">
        <v>0.66800000000000004</v>
      </c>
      <c r="M135">
        <v>2.9</v>
      </c>
      <c r="N135" s="12">
        <v>5047615</v>
      </c>
      <c r="O135" s="12">
        <v>2484865</v>
      </c>
      <c r="P135" s="12">
        <v>2921566</v>
      </c>
      <c r="Q135">
        <v>1.61E-2</v>
      </c>
      <c r="R135">
        <v>8.0724230000000004E-3</v>
      </c>
      <c r="S135">
        <v>0.9042</v>
      </c>
      <c r="T135">
        <v>0.45219999999999999</v>
      </c>
      <c r="U135" s="12">
        <v>39744</v>
      </c>
      <c r="V135" s="12">
        <v>753248</v>
      </c>
    </row>
    <row r="136" spans="1:22">
      <c r="A136" t="s">
        <v>37</v>
      </c>
      <c r="B136">
        <v>23</v>
      </c>
      <c r="C136">
        <v>10</v>
      </c>
      <c r="D136" t="s">
        <v>43</v>
      </c>
      <c r="E136">
        <v>0.13400000000000001</v>
      </c>
      <c r="F136">
        <v>0.127</v>
      </c>
      <c r="G136">
        <v>5.7000000000000002E-3</v>
      </c>
      <c r="H136">
        <v>1.12E-2</v>
      </c>
      <c r="I136">
        <v>0.79700000000000004</v>
      </c>
      <c r="J136">
        <v>0.57099999999999995</v>
      </c>
      <c r="K136">
        <v>0.436</v>
      </c>
      <c r="L136">
        <v>0.71199999999999997</v>
      </c>
      <c r="M136">
        <v>3.1</v>
      </c>
      <c r="N136" s="12">
        <v>584292</v>
      </c>
      <c r="O136" s="12">
        <v>205899</v>
      </c>
      <c r="P136" s="12">
        <v>3868352</v>
      </c>
      <c r="Q136">
        <v>1.6899999999999998E-2</v>
      </c>
      <c r="R136">
        <v>8.4735379999999992E-3</v>
      </c>
      <c r="S136" s="12">
        <v>12846</v>
      </c>
      <c r="T136">
        <v>0.64239999999999997</v>
      </c>
      <c r="U136" s="12">
        <v>46554</v>
      </c>
      <c r="V136" s="12">
        <v>790191</v>
      </c>
    </row>
    <row r="137" spans="1:22">
      <c r="A137" t="s">
        <v>37</v>
      </c>
      <c r="B137">
        <v>23</v>
      </c>
      <c r="C137">
        <v>10</v>
      </c>
      <c r="D137" t="s">
        <v>43</v>
      </c>
      <c r="E137">
        <v>0.13900000000000001</v>
      </c>
      <c r="F137">
        <v>0.128</v>
      </c>
      <c r="G137">
        <v>6.0000000000000001E-3</v>
      </c>
      <c r="H137">
        <v>1.2E-2</v>
      </c>
      <c r="I137">
        <v>0.79500000000000004</v>
      </c>
      <c r="J137">
        <v>0.58299999999999996</v>
      </c>
      <c r="K137">
        <v>0.42299999999999999</v>
      </c>
      <c r="L137">
        <v>0.72899999999999998</v>
      </c>
      <c r="M137">
        <v>3.3</v>
      </c>
      <c r="N137" s="12">
        <v>4823912</v>
      </c>
      <c r="O137" s="12">
        <v>2674412</v>
      </c>
      <c r="P137" s="12">
        <v>3003926</v>
      </c>
      <c r="Q137">
        <v>1.7999999999999999E-2</v>
      </c>
      <c r="R137">
        <v>9.0250699999999996E-3</v>
      </c>
      <c r="S137" s="12">
        <v>12822</v>
      </c>
      <c r="T137">
        <v>0.64139999999999997</v>
      </c>
      <c r="U137" s="12">
        <v>45866</v>
      </c>
      <c r="V137" s="12">
        <v>7498324</v>
      </c>
    </row>
    <row r="138" spans="1:22">
      <c r="A138" t="s">
        <v>37</v>
      </c>
      <c r="B138">
        <v>23</v>
      </c>
      <c r="C138">
        <v>10</v>
      </c>
      <c r="D138" t="s">
        <v>43</v>
      </c>
      <c r="E138">
        <v>0.14499999999999999</v>
      </c>
      <c r="F138">
        <v>0.12825</v>
      </c>
      <c r="G138">
        <v>5.6600000000000001E-3</v>
      </c>
      <c r="H138">
        <v>1.2E-2</v>
      </c>
      <c r="I138">
        <v>0.79</v>
      </c>
      <c r="J138">
        <v>0.59199999999999997</v>
      </c>
      <c r="K138">
        <v>0.41299999999999998</v>
      </c>
      <c r="L138">
        <v>0.746</v>
      </c>
      <c r="M138">
        <v>3.3</v>
      </c>
      <c r="N138" s="12">
        <v>5303847</v>
      </c>
      <c r="O138" s="12">
        <v>1865755</v>
      </c>
      <c r="P138" s="12">
        <v>326342</v>
      </c>
      <c r="Q138">
        <v>1.9099999999999999E-2</v>
      </c>
      <c r="R138">
        <v>9.576602E-3</v>
      </c>
      <c r="S138" s="12">
        <v>11352</v>
      </c>
      <c r="T138">
        <v>0.56799999999999995</v>
      </c>
      <c r="U138" s="12">
        <v>4353</v>
      </c>
      <c r="V138" s="12">
        <v>7169602</v>
      </c>
    </row>
    <row r="139" spans="1:22">
      <c r="A139" t="s">
        <v>37</v>
      </c>
      <c r="B139">
        <v>24</v>
      </c>
      <c r="C139">
        <v>13</v>
      </c>
      <c r="D139" t="s">
        <v>43</v>
      </c>
      <c r="E139">
        <v>0.188</v>
      </c>
      <c r="F139">
        <v>0.14799999999999999</v>
      </c>
      <c r="G139">
        <v>8.8999999999999999E-3</v>
      </c>
      <c r="H139">
        <v>1.35E-2</v>
      </c>
      <c r="I139">
        <v>0.78100000000000003</v>
      </c>
      <c r="J139">
        <v>0.53900000000000003</v>
      </c>
      <c r="K139">
        <v>0.47</v>
      </c>
      <c r="L139">
        <v>0.68500000000000005</v>
      </c>
      <c r="M139">
        <v>3</v>
      </c>
      <c r="N139" s="12">
        <v>3751578</v>
      </c>
      <c r="O139" s="12">
        <v>3042336</v>
      </c>
      <c r="P139" s="12">
        <v>2214282</v>
      </c>
      <c r="Q139">
        <v>2.24E-2</v>
      </c>
      <c r="R139">
        <v>8.6393830000000005E-3</v>
      </c>
      <c r="S139" s="12">
        <v>110896</v>
      </c>
      <c r="T139">
        <v>0.54544999999999999</v>
      </c>
      <c r="U139" s="12">
        <v>52686</v>
      </c>
      <c r="V139" s="12">
        <v>6793914</v>
      </c>
    </row>
    <row r="140" spans="1:22">
      <c r="A140" t="s">
        <v>37</v>
      </c>
      <c r="B140">
        <v>24</v>
      </c>
      <c r="C140">
        <v>13</v>
      </c>
      <c r="D140" t="s">
        <v>43</v>
      </c>
      <c r="E140">
        <v>0.183</v>
      </c>
      <c r="F140">
        <v>0.16</v>
      </c>
      <c r="G140">
        <v>8.8999999999999999E-3</v>
      </c>
      <c r="H140">
        <v>1.43E-2</v>
      </c>
      <c r="I140">
        <v>0.78600000000000003</v>
      </c>
      <c r="J140">
        <v>0.55700000000000005</v>
      </c>
      <c r="K140">
        <v>0.45300000000000001</v>
      </c>
      <c r="L140">
        <v>0.70299999999999996</v>
      </c>
      <c r="M140">
        <v>3.1</v>
      </c>
      <c r="N140" s="12">
        <v>446467</v>
      </c>
      <c r="O140" s="12">
        <v>3337205</v>
      </c>
      <c r="P140" s="12">
        <v>2321689</v>
      </c>
      <c r="Q140">
        <v>2.3199999999999998E-2</v>
      </c>
      <c r="R140">
        <v>8.9479320000000005E-3</v>
      </c>
      <c r="S140" s="12">
        <v>10748</v>
      </c>
      <c r="T140">
        <v>0.53759999999999997</v>
      </c>
      <c r="U140" s="12">
        <v>47614</v>
      </c>
      <c r="V140" s="12">
        <v>7801875</v>
      </c>
    </row>
    <row r="141" spans="1:22">
      <c r="A141" t="s">
        <v>37</v>
      </c>
      <c r="B141">
        <v>24</v>
      </c>
      <c r="C141">
        <v>13</v>
      </c>
      <c r="D141" t="s">
        <v>43</v>
      </c>
      <c r="E141">
        <v>0.17199999999999999</v>
      </c>
      <c r="F141">
        <v>0.14000000000000001</v>
      </c>
      <c r="G141">
        <v>6.4999999999999997E-3</v>
      </c>
      <c r="H141">
        <v>1.2999999999999999E-2</v>
      </c>
      <c r="I141">
        <v>0.78500000000000003</v>
      </c>
      <c r="J141">
        <v>0.57299999999999995</v>
      </c>
      <c r="K141">
        <v>0.436</v>
      </c>
      <c r="L141">
        <v>0.72399999999999998</v>
      </c>
      <c r="M141">
        <v>3.2</v>
      </c>
      <c r="N141" s="12">
        <v>5011788</v>
      </c>
      <c r="O141" s="12">
        <v>3130788</v>
      </c>
      <c r="P141" s="12">
        <v>2641623</v>
      </c>
      <c r="Q141">
        <v>1.95E-2</v>
      </c>
      <c r="R141">
        <v>7.520891E-3</v>
      </c>
      <c r="S141" s="12">
        <v>10896</v>
      </c>
      <c r="T141">
        <v>0.54500000000000004</v>
      </c>
      <c r="U141" s="12">
        <v>50048</v>
      </c>
      <c r="V141" s="12">
        <v>8142576</v>
      </c>
    </row>
    <row r="142" spans="1:22">
      <c r="A142" t="s">
        <v>37</v>
      </c>
      <c r="B142">
        <v>24</v>
      </c>
      <c r="C142">
        <v>13</v>
      </c>
      <c r="D142" t="s">
        <v>43</v>
      </c>
      <c r="E142">
        <v>0.17499999999999999</v>
      </c>
      <c r="F142">
        <v>0.13700000000000001</v>
      </c>
      <c r="G142">
        <v>8.3999999999999995E-3</v>
      </c>
      <c r="H142">
        <v>1.12E-2</v>
      </c>
      <c r="I142">
        <v>0.78300000000000003</v>
      </c>
      <c r="J142">
        <v>0.55400000000000005</v>
      </c>
      <c r="K142">
        <v>0.504</v>
      </c>
      <c r="L142">
        <v>0.7016</v>
      </c>
      <c r="M142">
        <v>3.08</v>
      </c>
      <c r="N142" s="12">
        <v>4292481</v>
      </c>
      <c r="O142" s="12">
        <v>1256213</v>
      </c>
      <c r="P142" s="12">
        <v>2933049</v>
      </c>
      <c r="Q142">
        <v>1.9599999999999999E-2</v>
      </c>
      <c r="R142">
        <v>7.5594599999999996E-3</v>
      </c>
      <c r="S142" s="12">
        <v>11218</v>
      </c>
      <c r="T142">
        <v>0.56120000000000003</v>
      </c>
      <c r="U142" s="12">
        <v>55376</v>
      </c>
      <c r="V142" s="12">
        <v>5548694</v>
      </c>
    </row>
    <row r="143" spans="1:22">
      <c r="A143" t="s">
        <v>37</v>
      </c>
      <c r="B143">
        <v>24</v>
      </c>
      <c r="C143">
        <v>13</v>
      </c>
      <c r="D143" t="s">
        <v>43</v>
      </c>
      <c r="E143">
        <v>0.184</v>
      </c>
      <c r="F143">
        <v>0.124</v>
      </c>
      <c r="G143">
        <v>4.7999999999999996E-3</v>
      </c>
      <c r="H143">
        <v>1.11E-2</v>
      </c>
      <c r="I143">
        <v>0.78500000000000003</v>
      </c>
      <c r="J143">
        <v>0.54100000000000004</v>
      </c>
      <c r="K143">
        <v>0.46500000000000002</v>
      </c>
      <c r="L143">
        <v>0.68600000000000005</v>
      </c>
      <c r="M143">
        <v>3</v>
      </c>
      <c r="N143" s="12">
        <v>4658151</v>
      </c>
      <c r="O143" s="12">
        <v>1445547</v>
      </c>
      <c r="P143" s="12">
        <v>3074308</v>
      </c>
      <c r="Q143">
        <v>1.5900000000000001E-2</v>
      </c>
      <c r="R143">
        <v>6.1324190000000001E-3</v>
      </c>
      <c r="S143" s="12">
        <v>10756</v>
      </c>
      <c r="T143">
        <v>0.53800000000000003</v>
      </c>
      <c r="U143" s="12">
        <v>54812</v>
      </c>
      <c r="V143" s="12">
        <v>6103698</v>
      </c>
    </row>
    <row r="144" spans="1:22">
      <c r="A144" t="s">
        <v>37</v>
      </c>
      <c r="B144">
        <v>24</v>
      </c>
      <c r="C144">
        <v>13</v>
      </c>
      <c r="D144" t="s">
        <v>43</v>
      </c>
      <c r="E144">
        <v>0.20200000000000001</v>
      </c>
      <c r="F144">
        <v>0.14000000000000001</v>
      </c>
      <c r="G144">
        <v>7.3000000000000001E-3</v>
      </c>
      <c r="H144">
        <v>1.37E-2</v>
      </c>
      <c r="I144">
        <v>0.78700000000000003</v>
      </c>
      <c r="J144">
        <v>0.56000000000000005</v>
      </c>
      <c r="K144">
        <v>0.442</v>
      </c>
      <c r="L144">
        <v>0.71</v>
      </c>
      <c r="M144">
        <v>3.1</v>
      </c>
      <c r="N144" s="12">
        <v>478201</v>
      </c>
      <c r="O144" s="12">
        <v>1950798</v>
      </c>
      <c r="P144" s="12">
        <v>3024539</v>
      </c>
      <c r="Q144">
        <v>2.1000000000000001E-2</v>
      </c>
      <c r="R144">
        <v>8.0994210000000007E-3</v>
      </c>
      <c r="S144" s="12">
        <v>1183</v>
      </c>
      <c r="T144">
        <v>0.54544999999999999</v>
      </c>
      <c r="U144" s="12">
        <v>57534</v>
      </c>
      <c r="V144" s="12">
        <v>6732808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2024-06-11T17:34:47Z</dcterms:created>
  <dcterms:modified xsi:type="dcterms:W3CDTF">2025-11-18T19:28:01Z</dcterms:modified>
  <cp:category/>
  <cp:contentStatus/>
</cp:coreProperties>
</file>